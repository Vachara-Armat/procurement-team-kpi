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Lenovo-C6\OneDrive\เอกสาร\Main Work\Portfolio_Excel_Projects\"/>
    </mc:Choice>
  </mc:AlternateContent>
  <xr:revisionPtr revIDLastSave="0" documentId="8_{ACE8B51D-1F79-4B9C-9F51-F2244D94FBB0}" xr6:coauthVersionLast="36" xr6:coauthVersionMax="36" xr10:uidLastSave="{00000000-0000-0000-0000-000000000000}"/>
  <bookViews>
    <workbookView xWindow="0" yWindow="0" windowWidth="18645" windowHeight="12075" activeTab="1" xr2:uid="{BACEE7C7-61D5-4A4A-8962-A9F333C7AFA5}"/>
  </bookViews>
  <sheets>
    <sheet name="Pivot_Summary_Dashboard" sheetId="3" r:id="rId1"/>
    <sheet name="Raw_Data" sheetId="1" r:id="rId2"/>
  </sheets>
  <definedNames>
    <definedName name="Slicer_เดือน">#N/A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<sst xmlns="http://schemas.openxmlformats.org/spreadsheetml/2006/main" count="103" uniqueCount="48">
  <si>
    <t>Row Labels</t>
  </si>
  <si>
    <t>Grand Total</t>
  </si>
  <si>
    <t>Column Labels</t>
  </si>
  <si>
    <t>Employee</t>
  </si>
  <si>
    <t>ชื่อพนักงาน</t>
  </si>
  <si>
    <t>Orders Processed</t>
  </si>
  <si>
    <t>จำนวนออเดอร์ที่ดำเนินการ</t>
  </si>
  <si>
    <t>Lead Time (days)</t>
  </si>
  <si>
    <t>ระยะเวลาดำเนินงาน (วัน)</t>
  </si>
  <si>
    <t>Cost Saved (THB)</t>
  </si>
  <si>
    <t>มูลค่าการประหยัดต้นทุน (บาท)</t>
  </si>
  <si>
    <t>Month</t>
  </si>
  <si>
    <t>เดือน</t>
  </si>
  <si>
    <t>สมชาย</t>
  </si>
  <si>
    <t>สมหญิง</t>
  </si>
  <si>
    <t>อนันต์</t>
  </si>
  <si>
    <t>วิภา</t>
  </si>
  <si>
    <t>ธนา</t>
  </si>
  <si>
    <t>ศิริพร</t>
  </si>
  <si>
    <t>กิตติ</t>
  </si>
  <si>
    <t>จุฑามาศ</t>
  </si>
  <si>
    <t>ประเสริฐ</t>
  </si>
  <si>
    <t>นฤมล</t>
  </si>
  <si>
    <t>วีระ</t>
  </si>
  <si>
    <t>อรทัย</t>
  </si>
  <si>
    <t>ชัยวัฒน์</t>
  </si>
  <si>
    <t>พัชรี</t>
  </si>
  <si>
    <t>ภาณุ</t>
  </si>
  <si>
    <t>รัตนา</t>
  </si>
  <si>
    <t>สุเมธ</t>
  </si>
  <si>
    <t>กมล</t>
  </si>
  <si>
    <t>อภิชาต</t>
  </si>
  <si>
    <t>สุภาพร</t>
  </si>
  <si>
    <t>Jan</t>
  </si>
  <si>
    <t>Feb</t>
  </si>
  <si>
    <t>Mar</t>
  </si>
  <si>
    <t>Apr</t>
  </si>
  <si>
    <t>May</t>
  </si>
  <si>
    <t>Jun</t>
  </si>
  <si>
    <t>Total  จำนวนออเดอร์</t>
  </si>
  <si>
    <t xml:space="preserve"> จำนวนออเดอร์</t>
  </si>
  <si>
    <t>Total ระยะเวลา</t>
  </si>
  <si>
    <t>ระยะเวลา</t>
  </si>
  <si>
    <t>Total ประหยัดต้นทุน</t>
  </si>
  <si>
    <t>ประหยัดต้นทุน</t>
  </si>
  <si>
    <t>Procurement Team Performance Analysis</t>
  </si>
  <si>
    <t>วิเคราะห์ประสิทธิภาพทีมจัดซื้อ</t>
  </si>
  <si>
    <t>• Top performers (ชัยวัฒน์, อนันต์) มี Productivity สูงสุด  
• Lead Time สูงพบในบางพนักงาน (ธนา, ศิริพร, สุภาพร)  
• Cost Saving กระจุกตัวในพนักงานบางราย  
• Performance ทีมลดลงต่อเนื่องในช่วง Jan–Mar  
Recommendation:
ควรลด Lead Time และกระจาย Best Practice จาก Top Performer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</si>
</sst>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409]d\ mmm\ yy;@"/>
  </numFmts>
  <fonts count="4">
    <font>
      <sz val="11"/>
      <color theme="1"/>
      <name val="Calibri"/>
      <family val="2"/>
      <charset val="222"/>
      <scheme val="minor"/>
    </font>
    <font>
      <sz val="14"/>
      <color theme="1"/>
      <name val="AngsanaUPC"/>
      <family val="1"/>
    </font>
    <font>
      <b/>
      <sz val="18"/>
      <color theme="1"/>
      <name val="AngsanaUPC"/>
      <family val="1"/>
    </font>
    <font>
      <sz val="16"/>
      <color theme="1"/>
      <name val="AngsanaUPC"/>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xf>
    <xf numFmtId="0" fontId="1" fillId="0" borderId="0" xfId="0" applyFont="1"/>
    <xf numFmtId="164" fontId="1" fillId="0" borderId="2" xfId="0" applyNumberFormat="1" applyFont="1" applyBorder="1" applyAlignment="1">
      <alignment horizontal="center" vertical="center"/>
    </xf>
    <xf numFmtId="164" fontId="1" fillId="0" borderId="3" xfId="0" applyNumberFormat="1" applyFont="1" applyBorder="1" applyAlignment="1">
      <alignment horizontal="center" vertical="center"/>
    </xf>
    <xf numFmtId="164" fontId="1" fillId="0" borderId="4"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4" fontId="1" fillId="0" borderId="2" xfId="0" applyNumberFormat="1" applyFont="1" applyBorder="1" applyAlignment="1">
      <alignment horizontal="center" vertical="center"/>
    </xf>
    <xf numFmtId="4" fontId="1" fillId="0" borderId="3" xfId="0" applyNumberFormat="1" applyFont="1" applyBorder="1" applyAlignment="1">
      <alignment horizontal="center" vertical="center"/>
    </xf>
    <xf numFmtId="4" fontId="1" fillId="0" borderId="4" xfId="0" applyNumberFormat="1" applyFont="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0" fontId="1" fillId="0" borderId="0" xfId="0" applyFont="1" applyBorder="1" applyAlignment="1">
      <alignment horizontal="center" vertical="center"/>
    </xf>
    <xf numFmtId="164" fontId="1" fillId="0" borderId="0" xfId="0" applyNumberFormat="1" applyFont="1" applyBorder="1" applyAlignment="1">
      <alignment horizontal="center" vertical="center"/>
    </xf>
    <xf numFmtId="4" fontId="1" fillId="0" borderId="0" xfId="0" applyNumberFormat="1"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0" fillId="0" borderId="0" xfId="0" applyNumberFormat="1"/>
    <xf numFmtId="0" fontId="2" fillId="0" borderId="0" xfId="0" applyFont="1" applyAlignment="1">
      <alignment vertical="center"/>
    </xf>
    <xf numFmtId="0" fontId="0" fillId="0" borderId="0" xfId="0" applyAlignment="1">
      <alignment wrapText="1"/>
    </xf>
    <xf numFmtId="0" fontId="2"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6">
    <dxf>
      <alignment horizontal="center"/>
    </dxf>
    <dxf>
      <alignment horizontal="center"/>
    </dxf>
    <dxf>
      <alignment horizontal="center"/>
    </dxf>
    <dxf>
      <alignment horizont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[Procurement_Team_Performance_Analysis.xlsx]Pivot_Summary_Dashboard!PivotTable1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Team Procurement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s>
    <c:plotArea>
      <c:layout/>
      <c:barChart>
        <c:barDir val="col"/>
        <c:grouping val="clustered"/>
        <c:varyColors val="0"/>
        <c:ser>
          <c:idx val="0"/>
          <c:order val="0"/>
          <c:tx>
            <c:strRef>
              <c:f>Pivot_Summary_Dashboard!$B$3:$B$5</c:f>
              <c:strCache>
                <c:ptCount val="1"/>
                <c:pt idx="0">
                  <c:v>Jan - ประหยัดต้นทุน</c:v>
                </c:pt>
              </c:strCache>
            </c:strRef>
          </c:tx>
          <c:spPr>
            <a:solidFill>
              <a:schemeClr val="accent1"/>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Pivot_Summary_Dashboard!$B$6:$B$26</c:f>
              <c:numCache>
                <c:formatCode>#,##0.00</c:formatCode>
                <c:ptCount val="20"/>
                <c:pt idx="3">
                  <c:v>27000</c:v>
                </c:pt>
                <c:pt idx="13">
                  <c:v>15000</c:v>
                </c:pt>
                <c:pt idx="14">
                  <c:v>9000</c:v>
                </c:pt>
                <c:pt idx="18">
                  <c:v>26000</c:v>
                </c:pt>
              </c:numCache>
            </c:numRef>
          </c:val>
          <c:extLst>
            <c:ext xmlns:c16="http://schemas.microsoft.com/office/drawing/2014/chart" uri="{C3380CC4-5D6E-409C-BE32-E72D297353CC}">
              <c16:uniqueId val="{00000000-E8F3-4A80-9ECE-F479AD29B175}"/>
            </c:ext>
          </c:extLst>
        </c:ser>
        <c:ser>
          <c:idx val="1"/>
          <c:order val="1"/>
          <c:tx>
            <c:strRef>
              <c:f>Pivot_Summary_Dashboard!$C$3:$C$5</c:f>
              <c:strCache>
                <c:ptCount val="1"/>
                <c:pt idx="0">
                  <c:v>Jan - ระยะเวลา</c:v>
                </c:pt>
              </c:strCache>
            </c:strRef>
          </c:tx>
          <c:spPr>
            <a:solidFill>
              <a:schemeClr val="accent2"/>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Pivot_Summary_Dashboard!$C$6:$C$26</c:f>
              <c:numCache>
                <c:formatCode>General</c:formatCode>
                <c:ptCount val="20"/>
                <c:pt idx="3">
                  <c:v>4.5</c:v>
                </c:pt>
                <c:pt idx="13">
                  <c:v>5</c:v>
                </c:pt>
                <c:pt idx="14">
                  <c:v>7</c:v>
                </c:pt>
                <c:pt idx="18">
                  <c:v>4</c:v>
                </c:pt>
              </c:numCache>
            </c:numRef>
          </c:val>
          <c:extLst>
            <c:ext xmlns:c16="http://schemas.microsoft.com/office/drawing/2014/chart" uri="{C3380CC4-5D6E-409C-BE32-E72D297353CC}">
              <c16:uniqueId val="{00000001-E8F3-4A80-9ECE-F479AD29B175}"/>
            </c:ext>
          </c:extLst>
        </c:ser>
        <c:ser>
          <c:idx val="2"/>
          <c:order val="2"/>
          <c:tx>
            <c:strRef>
              <c:f>Pivot_Summary_Dashboard!$D$3:$D$5</c:f>
              <c:strCache>
                <c:ptCount val="1"/>
                <c:pt idx="0">
                  <c:v>Jan -  จำนวนออเดอร์</c:v>
                </c:pt>
              </c:strCache>
            </c:strRef>
          </c:tx>
          <c:spPr>
            <a:solidFill>
              <a:schemeClr val="accent3"/>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Pivot_Summary_Dashboard!$D$6:$D$26</c:f>
              <c:numCache>
                <c:formatCode>General</c:formatCode>
                <c:ptCount val="20"/>
                <c:pt idx="3">
                  <c:v>145</c:v>
                </c:pt>
                <c:pt idx="13">
                  <c:v>120</c:v>
                </c:pt>
                <c:pt idx="14">
                  <c:v>95</c:v>
                </c:pt>
                <c:pt idx="18">
                  <c:v>92</c:v>
                </c:pt>
              </c:numCache>
            </c:numRef>
          </c:val>
          <c:extLst>
            <c:ext xmlns:c16="http://schemas.microsoft.com/office/drawing/2014/chart" uri="{C3380CC4-5D6E-409C-BE32-E72D297353CC}">
              <c16:uniqueId val="{00000002-E8F3-4A80-9ECE-F479AD29B175}"/>
            </c:ext>
          </c:extLst>
        </c:ser>
        <c:ser>
          <c:idx val="3"/>
          <c:order val="3"/>
          <c:tx>
            <c:strRef>
              <c:f>Pivot_Summary_Dashboard!$E$3:$E$5</c:f>
              <c:strCache>
                <c:ptCount val="1"/>
                <c:pt idx="0">
                  <c:v>Feb - ประหยัดต้นทุน</c:v>
                </c:pt>
              </c:strCache>
            </c:strRef>
          </c:tx>
          <c:spPr>
            <a:solidFill>
              <a:schemeClr val="accent4"/>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Pivot_Summary_Dashboard!$E$6:$E$26</c:f>
              <c:numCache>
                <c:formatCode>#,##0.00</c:formatCode>
                <c:ptCount val="20"/>
                <c:pt idx="7">
                  <c:v>9500</c:v>
                </c:pt>
                <c:pt idx="10">
                  <c:v>18000</c:v>
                </c:pt>
                <c:pt idx="15">
                  <c:v>10000</c:v>
                </c:pt>
                <c:pt idx="17">
                  <c:v>22000</c:v>
                </c:pt>
              </c:numCache>
            </c:numRef>
          </c:val>
          <c:extLst>
            <c:ext xmlns:c16="http://schemas.microsoft.com/office/drawing/2014/chart" uri="{C3380CC4-5D6E-409C-BE32-E72D297353CC}">
              <c16:uniqueId val="{00000018-E8F3-4A80-9ECE-F479AD29B175}"/>
            </c:ext>
          </c:extLst>
        </c:ser>
        <c:ser>
          <c:idx val="4"/>
          <c:order val="4"/>
          <c:tx>
            <c:strRef>
              <c:f>Pivot_Summary_Dashboard!$F$3:$F$5</c:f>
              <c:strCache>
                <c:ptCount val="1"/>
                <c:pt idx="0">
                  <c:v>Feb - ระยะเวลา</c:v>
                </c:pt>
              </c:strCache>
            </c:strRef>
          </c:tx>
          <c:spPr>
            <a:solidFill>
              <a:schemeClr val="accent5"/>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Pivot_Summary_Dashboard!$F$6:$F$26</c:f>
              <c:numCache>
                <c:formatCode>General</c:formatCode>
                <c:ptCount val="20"/>
                <c:pt idx="7">
                  <c:v>5</c:v>
                </c:pt>
                <c:pt idx="10">
                  <c:v>6</c:v>
                </c:pt>
                <c:pt idx="15">
                  <c:v>7</c:v>
                </c:pt>
                <c:pt idx="17">
                  <c:v>5</c:v>
                </c:pt>
              </c:numCache>
            </c:numRef>
          </c:val>
          <c:extLst>
            <c:ext xmlns:c16="http://schemas.microsoft.com/office/drawing/2014/chart" uri="{C3380CC4-5D6E-409C-BE32-E72D297353CC}">
              <c16:uniqueId val="{00000019-E8F3-4A80-9ECE-F479AD29B175}"/>
            </c:ext>
          </c:extLst>
        </c:ser>
        <c:ser>
          <c:idx val="5"/>
          <c:order val="5"/>
          <c:tx>
            <c:strRef>
              <c:f>Pivot_Summary_Dashboard!$G$3:$G$5</c:f>
              <c:strCache>
                <c:ptCount val="1"/>
                <c:pt idx="0">
                  <c:v>Feb -  จำนวนออเดอร์</c:v>
                </c:pt>
              </c:strCache>
            </c:strRef>
          </c:tx>
          <c:spPr>
            <a:solidFill>
              <a:schemeClr val="accent6"/>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Pivot_Summary_Dashboard!$G$6:$G$26</c:f>
              <c:numCache>
                <c:formatCode>General</c:formatCode>
                <c:ptCount val="20"/>
                <c:pt idx="7">
                  <c:v>88</c:v>
                </c:pt>
                <c:pt idx="10">
                  <c:v>110</c:v>
                </c:pt>
                <c:pt idx="15">
                  <c:v>96</c:v>
                </c:pt>
                <c:pt idx="17">
                  <c:v>140</c:v>
                </c:pt>
              </c:numCache>
            </c:numRef>
          </c:val>
          <c:extLst>
            <c:ext xmlns:c16="http://schemas.microsoft.com/office/drawing/2014/chart" uri="{C3380CC4-5D6E-409C-BE32-E72D297353CC}">
              <c16:uniqueId val="{0000001A-E8F3-4A80-9ECE-F479AD29B175}"/>
            </c:ext>
          </c:extLst>
        </c:ser>
        <c:ser>
          <c:idx val="6"/>
          <c:order val="6"/>
          <c:tx>
            <c:strRef>
              <c:f>Pivot_Summary_Dashboard!$H$3:$H$5</c:f>
              <c:strCache>
                <c:ptCount val="1"/>
                <c:pt idx="0">
                  <c:v>Mar - ประหยัดต้นทุน</c:v>
                </c:pt>
              </c:strCache>
            </c:strRef>
          </c:tx>
          <c:spPr>
            <a:solidFill>
              <a:schemeClr val="accent1">
                <a:lumMod val="6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Pivot_Summary_Dashboard!$H$6:$H$26</c:f>
              <c:numCache>
                <c:formatCode>#,##0.00</c:formatCode>
                <c:ptCount val="20"/>
                <c:pt idx="4">
                  <c:v>20000</c:v>
                </c:pt>
                <c:pt idx="8">
                  <c:v>21000</c:v>
                </c:pt>
                <c:pt idx="12">
                  <c:v>8000</c:v>
                </c:pt>
              </c:numCache>
            </c:numRef>
          </c:val>
          <c:extLst>
            <c:ext xmlns:c16="http://schemas.microsoft.com/office/drawing/2014/chart" uri="{C3380CC4-5D6E-409C-BE32-E72D297353CC}">
              <c16:uniqueId val="{0000001B-E8F3-4A80-9ECE-F479AD29B175}"/>
            </c:ext>
          </c:extLst>
        </c:ser>
        <c:ser>
          <c:idx val="7"/>
          <c:order val="7"/>
          <c:tx>
            <c:strRef>
              <c:f>Pivot_Summary_Dashboard!$I$3:$I$5</c:f>
              <c:strCache>
                <c:ptCount val="1"/>
                <c:pt idx="0">
                  <c:v>Mar - ระยะเวลา</c:v>
                </c:pt>
              </c:strCache>
            </c:strRef>
          </c:tx>
          <c:spPr>
            <a:solidFill>
              <a:schemeClr val="accent2">
                <a:lumMod val="6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Pivot_Summary_Dashboard!$I$6:$I$26</c:f>
              <c:numCache>
                <c:formatCode>General</c:formatCode>
                <c:ptCount val="20"/>
                <c:pt idx="4">
                  <c:v>5</c:v>
                </c:pt>
                <c:pt idx="8">
                  <c:v>6.5</c:v>
                </c:pt>
                <c:pt idx="12">
                  <c:v>7</c:v>
                </c:pt>
              </c:numCache>
            </c:numRef>
          </c:val>
          <c:extLst>
            <c:ext xmlns:c16="http://schemas.microsoft.com/office/drawing/2014/chart" uri="{C3380CC4-5D6E-409C-BE32-E72D297353CC}">
              <c16:uniqueId val="{0000001C-E8F3-4A80-9ECE-F479AD29B175}"/>
            </c:ext>
          </c:extLst>
        </c:ser>
        <c:ser>
          <c:idx val="8"/>
          <c:order val="8"/>
          <c:tx>
            <c:strRef>
              <c:f>Pivot_Summary_Dashboard!$J$3:$J$5</c:f>
              <c:strCache>
                <c:ptCount val="1"/>
                <c:pt idx="0">
                  <c:v>Mar -  จำนวนออเดอร์</c:v>
                </c:pt>
              </c:strCache>
            </c:strRef>
          </c:tx>
          <c:spPr>
            <a:solidFill>
              <a:schemeClr val="accent3">
                <a:lumMod val="6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Pivot_Summary_Dashboard!$J$6:$J$26</c:f>
              <c:numCache>
                <c:formatCode>General</c:formatCode>
                <c:ptCount val="20"/>
                <c:pt idx="4">
                  <c:v>130</c:v>
                </c:pt>
                <c:pt idx="8">
                  <c:v>125</c:v>
                </c:pt>
                <c:pt idx="12">
                  <c:v>85</c:v>
                </c:pt>
              </c:numCache>
            </c:numRef>
          </c:val>
          <c:extLst>
            <c:ext xmlns:c16="http://schemas.microsoft.com/office/drawing/2014/chart" uri="{C3380CC4-5D6E-409C-BE32-E72D297353CC}">
              <c16:uniqueId val="{0000001D-E8F3-4A80-9ECE-F479AD29B175}"/>
            </c:ext>
          </c:extLst>
        </c:ser>
        <c:ser>
          <c:idx val="9"/>
          <c:order val="9"/>
          <c:tx>
            <c:strRef>
              <c:f>Pivot_Summary_Dashboard!$K$3:$K$5</c:f>
              <c:strCache>
                <c:ptCount val="1"/>
                <c:pt idx="0">
                  <c:v>Apr - ประหยัดต้นทุน</c:v>
                </c:pt>
              </c:strCache>
            </c:strRef>
          </c:tx>
          <c:spPr>
            <a:solidFill>
              <a:schemeClr val="accent4">
                <a:lumMod val="6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Pivot_Summary_Dashboard!$K$6:$K$26</c:f>
              <c:numCache>
                <c:formatCode>#,##0.00</c:formatCode>
                <c:ptCount val="20"/>
                <c:pt idx="1">
                  <c:v>30000</c:v>
                </c:pt>
                <c:pt idx="2">
                  <c:v>12000</c:v>
                </c:pt>
                <c:pt idx="9">
                  <c:v>13000</c:v>
                </c:pt>
              </c:numCache>
            </c:numRef>
          </c:val>
          <c:extLst>
            <c:ext xmlns:c16="http://schemas.microsoft.com/office/drawing/2014/chart" uri="{C3380CC4-5D6E-409C-BE32-E72D297353CC}">
              <c16:uniqueId val="{0000001E-E8F3-4A80-9ECE-F479AD29B175}"/>
            </c:ext>
          </c:extLst>
        </c:ser>
        <c:ser>
          <c:idx val="10"/>
          <c:order val="10"/>
          <c:tx>
            <c:strRef>
              <c:f>Pivot_Summary_Dashboard!$L$3:$L$5</c:f>
              <c:strCache>
                <c:ptCount val="1"/>
                <c:pt idx="0">
                  <c:v>Apr - ระยะเวลา</c:v>
                </c:pt>
              </c:strCache>
            </c:strRef>
          </c:tx>
          <c:spPr>
            <a:solidFill>
              <a:schemeClr val="accent5">
                <a:lumMod val="6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Pivot_Summary_Dashboard!$L$6:$L$26</c:f>
              <c:numCache>
                <c:formatCode>General</c:formatCode>
                <c:ptCount val="20"/>
                <c:pt idx="1">
                  <c:v>4</c:v>
                </c:pt>
                <c:pt idx="2">
                  <c:v>6</c:v>
                </c:pt>
                <c:pt idx="9">
                  <c:v>5</c:v>
                </c:pt>
              </c:numCache>
            </c:numRef>
          </c:val>
          <c:extLst>
            <c:ext xmlns:c16="http://schemas.microsoft.com/office/drawing/2014/chart" uri="{C3380CC4-5D6E-409C-BE32-E72D297353CC}">
              <c16:uniqueId val="{0000001F-E8F3-4A80-9ECE-F479AD29B175}"/>
            </c:ext>
          </c:extLst>
        </c:ser>
        <c:ser>
          <c:idx val="11"/>
          <c:order val="11"/>
          <c:tx>
            <c:strRef>
              <c:f>Pivot_Summary_Dashboard!$M$3:$M$5</c:f>
              <c:strCache>
                <c:ptCount val="1"/>
                <c:pt idx="0">
                  <c:v>Apr -  จำนวนออเดอร์</c:v>
                </c:pt>
              </c:strCache>
            </c:strRef>
          </c:tx>
          <c:spPr>
            <a:solidFill>
              <a:schemeClr val="accent6">
                <a:lumMod val="6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Pivot_Summary_Dashboard!$M$6:$M$26</c:f>
              <c:numCache>
                <c:formatCode>General</c:formatCode>
                <c:ptCount val="20"/>
                <c:pt idx="1">
                  <c:v>150</c:v>
                </c:pt>
                <c:pt idx="2">
                  <c:v>100</c:v>
                </c:pt>
                <c:pt idx="9">
                  <c:v>138</c:v>
                </c:pt>
              </c:numCache>
            </c:numRef>
          </c:val>
          <c:extLst>
            <c:ext xmlns:c16="http://schemas.microsoft.com/office/drawing/2014/chart" uri="{C3380CC4-5D6E-409C-BE32-E72D297353CC}">
              <c16:uniqueId val="{00000020-E8F3-4A80-9ECE-F479AD29B175}"/>
            </c:ext>
          </c:extLst>
        </c:ser>
        <c:ser>
          <c:idx val="12"/>
          <c:order val="12"/>
          <c:tx>
            <c:strRef>
              <c:f>Pivot_Summary_Dashboard!$N$3:$N$5</c:f>
              <c:strCache>
                <c:ptCount val="1"/>
                <c:pt idx="0">
                  <c:v>May - ประหยัดต้นทุน</c:v>
                </c:pt>
              </c:strCache>
            </c:strRef>
          </c:tx>
          <c:spPr>
            <a:solidFill>
              <a:schemeClr val="accent1">
                <a:lumMod val="80000"/>
                <a:lumOff val="2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Pivot_Summary_Dashboard!$N$6:$N$26</c:f>
              <c:numCache>
                <c:formatCode>#,##0.00</c:formatCode>
                <c:ptCount val="20"/>
                <c:pt idx="5">
                  <c:v>17000</c:v>
                </c:pt>
                <c:pt idx="6">
                  <c:v>11000</c:v>
                </c:pt>
                <c:pt idx="16">
                  <c:v>24000</c:v>
                </c:pt>
              </c:numCache>
            </c:numRef>
          </c:val>
          <c:extLst>
            <c:ext xmlns:c16="http://schemas.microsoft.com/office/drawing/2014/chart" uri="{C3380CC4-5D6E-409C-BE32-E72D297353CC}">
              <c16:uniqueId val="{00000021-E8F3-4A80-9ECE-F479AD29B175}"/>
            </c:ext>
          </c:extLst>
        </c:ser>
        <c:ser>
          <c:idx val="13"/>
          <c:order val="13"/>
          <c:tx>
            <c:strRef>
              <c:f>Pivot_Summary_Dashboard!$O$3:$O$5</c:f>
              <c:strCache>
                <c:ptCount val="1"/>
                <c:pt idx="0">
                  <c:v>May - ระยะเวลา</c:v>
                </c:pt>
              </c:strCache>
            </c:strRef>
          </c:tx>
          <c:spPr>
            <a:solidFill>
              <a:schemeClr val="accent2">
                <a:lumMod val="80000"/>
                <a:lumOff val="2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Pivot_Summary_Dashboard!$O$6:$O$26</c:f>
              <c:numCache>
                <c:formatCode>General</c:formatCode>
                <c:ptCount val="20"/>
                <c:pt idx="5">
                  <c:v>5.5</c:v>
                </c:pt>
                <c:pt idx="6">
                  <c:v>7</c:v>
                </c:pt>
                <c:pt idx="16">
                  <c:v>6</c:v>
                </c:pt>
              </c:numCache>
            </c:numRef>
          </c:val>
          <c:extLst>
            <c:ext xmlns:c16="http://schemas.microsoft.com/office/drawing/2014/chart" uri="{C3380CC4-5D6E-409C-BE32-E72D297353CC}">
              <c16:uniqueId val="{00000022-E8F3-4A80-9ECE-F479AD29B175}"/>
            </c:ext>
          </c:extLst>
        </c:ser>
        <c:ser>
          <c:idx val="14"/>
          <c:order val="14"/>
          <c:tx>
            <c:strRef>
              <c:f>Pivot_Summary_Dashboard!$P$3:$P$5</c:f>
              <c:strCache>
                <c:ptCount val="1"/>
                <c:pt idx="0">
                  <c:v>May -  จำนวนออเดอร์</c:v>
                </c:pt>
              </c:strCache>
            </c:strRef>
          </c:tx>
          <c:spPr>
            <a:solidFill>
              <a:schemeClr val="accent3">
                <a:lumMod val="80000"/>
                <a:lumOff val="2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Pivot_Summary_Dashboard!$P$6:$P$26</c:f>
              <c:numCache>
                <c:formatCode>General</c:formatCode>
                <c:ptCount val="20"/>
                <c:pt idx="5">
                  <c:v>115</c:v>
                </c:pt>
                <c:pt idx="6">
                  <c:v>90</c:v>
                </c:pt>
                <c:pt idx="16">
                  <c:v>102</c:v>
                </c:pt>
              </c:numCache>
            </c:numRef>
          </c:val>
          <c:extLst>
            <c:ext xmlns:c16="http://schemas.microsoft.com/office/drawing/2014/chart" uri="{C3380CC4-5D6E-409C-BE32-E72D297353CC}">
              <c16:uniqueId val="{00000023-E8F3-4A80-9ECE-F479AD29B175}"/>
            </c:ext>
          </c:extLst>
        </c:ser>
        <c:ser>
          <c:idx val="15"/>
          <c:order val="15"/>
          <c:tx>
            <c:strRef>
              <c:f>Pivot_Summary_Dashboard!$Q$3:$Q$5</c:f>
              <c:strCache>
                <c:ptCount val="1"/>
                <c:pt idx="0">
                  <c:v>Jun - ประหยัดต้นทุน</c:v>
                </c:pt>
              </c:strCache>
            </c:strRef>
          </c:tx>
          <c:spPr>
            <a:solidFill>
              <a:schemeClr val="accent4">
                <a:lumMod val="80000"/>
                <a:lumOff val="2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Pivot_Summary_Dashboard!$Q$6:$Q$26</c:f>
              <c:numCache>
                <c:formatCode>#,##0.00</c:formatCode>
                <c:ptCount val="20"/>
                <c:pt idx="0">
                  <c:v>15500</c:v>
                </c:pt>
                <c:pt idx="11">
                  <c:v>25000</c:v>
                </c:pt>
                <c:pt idx="19">
                  <c:v>16000</c:v>
                </c:pt>
              </c:numCache>
            </c:numRef>
          </c:val>
          <c:extLst>
            <c:ext xmlns:c16="http://schemas.microsoft.com/office/drawing/2014/chart" uri="{C3380CC4-5D6E-409C-BE32-E72D297353CC}">
              <c16:uniqueId val="{00000024-E8F3-4A80-9ECE-F479AD29B175}"/>
            </c:ext>
          </c:extLst>
        </c:ser>
        <c:ser>
          <c:idx val="16"/>
          <c:order val="16"/>
          <c:tx>
            <c:strRef>
              <c:f>Pivot_Summary_Dashboard!$R$3:$R$5</c:f>
              <c:strCache>
                <c:ptCount val="1"/>
                <c:pt idx="0">
                  <c:v>Jun - ระยะเวลา</c:v>
                </c:pt>
              </c:strCache>
            </c:strRef>
          </c:tx>
          <c:spPr>
            <a:solidFill>
              <a:schemeClr val="accent5">
                <a:lumMod val="80000"/>
                <a:lumOff val="2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Pivot_Summary_Dashboard!$R$6:$R$26</c:f>
              <c:numCache>
                <c:formatCode>General</c:formatCode>
                <c:ptCount val="20"/>
                <c:pt idx="0">
                  <c:v>5.5</c:v>
                </c:pt>
                <c:pt idx="11">
                  <c:v>4</c:v>
                </c:pt>
                <c:pt idx="19">
                  <c:v>6</c:v>
                </c:pt>
              </c:numCache>
            </c:numRef>
          </c:val>
          <c:extLst>
            <c:ext xmlns:c16="http://schemas.microsoft.com/office/drawing/2014/chart" uri="{C3380CC4-5D6E-409C-BE32-E72D297353CC}">
              <c16:uniqueId val="{00000025-E8F3-4A80-9ECE-F479AD29B175}"/>
            </c:ext>
          </c:extLst>
        </c:ser>
        <c:ser>
          <c:idx val="17"/>
          <c:order val="17"/>
          <c:tx>
            <c:strRef>
              <c:f>Pivot_Summary_Dashboard!$S$3:$S$5</c:f>
              <c:strCache>
                <c:ptCount val="1"/>
                <c:pt idx="0">
                  <c:v>Jun -  จำนวนออเดอร์</c:v>
                </c:pt>
              </c:strCache>
            </c:strRef>
          </c:tx>
          <c:spPr>
            <a:solidFill>
              <a:schemeClr val="accent6">
                <a:lumMod val="80000"/>
                <a:lumOff val="20000"/>
              </a:schemeClr>
            </a:solidFill>
            <a:ln>
              <a:noFill/>
            </a:ln>
            <a:effectLst/>
          </c:spPr>
          <c:invertIfNegative val="0"/>
          <c:cat>
            <c:strRef>
              <c:f>Pivot_Summary_Dashboard!$A$6:$A$26</c:f>
              <c:strCache>
                <c:ptCount val="20"/>
                <c:pt idx="0">
                  <c:v>กมล</c:v>
                </c:pt>
                <c:pt idx="1">
                  <c:v>กิตติ</c:v>
                </c:pt>
                <c:pt idx="2">
                  <c:v>จุฑามาศ</c:v>
                </c:pt>
                <c:pt idx="3">
                  <c:v>ชัยวัฒน์</c:v>
                </c:pt>
                <c:pt idx="4">
                  <c:v>ธนา</c:v>
                </c:pt>
                <c:pt idx="5">
                  <c:v>นฤมล</c:v>
                </c:pt>
                <c:pt idx="6">
                  <c:v>ประเสริฐ</c:v>
                </c:pt>
                <c:pt idx="7">
                  <c:v>พัชรี</c:v>
                </c:pt>
                <c:pt idx="8">
                  <c:v>ภาณุ</c:v>
                </c:pt>
                <c:pt idx="9">
                  <c:v>รัตนา</c:v>
                </c:pt>
                <c:pt idx="10">
                  <c:v>วิภา</c:v>
                </c:pt>
                <c:pt idx="11">
                  <c:v>วีระ</c:v>
                </c:pt>
                <c:pt idx="12">
                  <c:v>ศิริพร</c:v>
                </c:pt>
                <c:pt idx="13">
                  <c:v>สมชาย</c:v>
                </c:pt>
                <c:pt idx="14">
                  <c:v>สมหญิง</c:v>
                </c:pt>
                <c:pt idx="15">
                  <c:v>สุภาพร</c:v>
                </c:pt>
                <c:pt idx="16">
                  <c:v>สุเมธ</c:v>
                </c:pt>
                <c:pt idx="17">
                  <c:v>อนันต์</c:v>
                </c:pt>
                <c:pt idx="18">
                  <c:v>อภิชาต</c:v>
                </c:pt>
                <c:pt idx="19">
                  <c:v>อรทัย</c:v>
                </c:pt>
              </c:strCache>
            </c:strRef>
          </c:cat>
          <c:val>
            <c:numRef>
              <c:f>Pivot_Summary_Dashboard!$S$6:$S$26</c:f>
              <c:numCache>
                <c:formatCode>General</c:formatCode>
                <c:ptCount val="20"/>
                <c:pt idx="0">
                  <c:v>142</c:v>
                </c:pt>
                <c:pt idx="11">
                  <c:v>135</c:v>
                </c:pt>
                <c:pt idx="19">
                  <c:v>105</c:v>
                </c:pt>
              </c:numCache>
            </c:numRef>
          </c:val>
          <c:extLst>
            <c:ext xmlns:c16="http://schemas.microsoft.com/office/drawing/2014/chart" uri="{C3380CC4-5D6E-409C-BE32-E72D297353CC}">
              <c16:uniqueId val="{00000026-E8F3-4A80-9ECE-F479AD29B175}"/>
            </c:ext>
          </c:extLst>
        </c:ser>
        <c:dLbls>
          <c:showLegendKey val="0"/>
          <c:showVal val="0"/>
          <c:showCatName val="0"/>
          <c:showSerName val="0"/>
          <c:showPercent val="0"/>
          <c:showBubbleSize val="0"/>
        </c:dLbls>
        <c:gapWidth val="219"/>
        <c:overlap val="-27"/>
        <c:axId val="1990274672"/>
        <c:axId val="1991254624"/>
      </c:barChart>
      <c:catAx>
        <c:axId val="19902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254624"/>
        <c:crosses val="autoZero"/>
        <c:auto val="1"/>
        <c:lblAlgn val="ctr"/>
        <c:lblOffset val="100"/>
        <c:noMultiLvlLbl val="0"/>
      </c:catAx>
      <c:valAx>
        <c:axId val="199125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27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85724</xdr:colOff>
      <xdr:row>33</xdr:row>
      <xdr:rowOff>90486</xdr:rowOff>
    </xdr:from>
    <xdr:to>
      <xdr:col>6</xdr:col>
      <xdr:colOff>942974</xdr:colOff>
      <xdr:row>51</xdr:row>
      <xdr:rowOff>57150</xdr:rowOff>
    </xdr:to>
    <xdr:graphicFrame macro="">
      <xdr:nvGraphicFramePr>
        <xdr:cNvPr id="2" name="Chart 1">
          <a:extLst>
            <a:ext uri="{FF2B5EF4-FFF2-40B4-BE49-F238E27FC236}">
              <a16:creationId xmlns:a16="http://schemas.microsoft.com/office/drawing/2014/main" id="{7EE1ECAB-7DE6-4931-83A0-BECE6A2B4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1009650</xdr:colOff>
      <xdr:row>33</xdr:row>
      <xdr:rowOff>171450</xdr:rowOff>
    </xdr:from>
    <xdr:to>
      <xdr:col>9</xdr:col>
      <xdr:colOff>123825</xdr:colOff>
      <xdr:row>47</xdr:row>
      <xdr:rowOff>28575</xdr:rowOff>
    </xdr:to>
    <mc:AlternateContent xmlns:mc="http://schemas.openxmlformats.org/markup-compatibility/2006" xmlns:a14="http://schemas.microsoft.com/office/drawing/2010/main">
      <mc:Choice Requires="a14">
        <xdr:graphicFrame macro="">
          <xdr:nvGraphicFramePr>
            <xdr:cNvPr id="3" name="เดือน">
              <a:extLst>
                <a:ext uri="{FF2B5EF4-FFF2-40B4-BE49-F238E27FC236}">
                  <a16:creationId xmlns:a16="http://schemas.microsoft.com/office/drawing/2014/main" id="{8C6087A5-0C60-4F6D-A56F-02691A4143D6}"/>
                </a:ext>
              </a:extLst>
            </xdr:cNvPr>
            <xdr:cNvGraphicFramePr/>
          </xdr:nvGraphicFramePr>
          <xdr:xfrm>
            <a:off x="0" y="0"/>
            <a:ext cx="0" cy="0"/>
          </xdr:xfrm>
          <a:graphic>
            <a:graphicData uri="http://schemas.microsoft.com/office/drawing/2010/slicer">
              <sle:slicer xmlns:sle="http://schemas.microsoft.com/office/drawing/2010/slicer" name="เดือน"/>
            </a:graphicData>
          </a:graphic>
        </xdr:graphicFrame>
      </mc:Choice>
      <mc:Fallback xmlns="">
        <xdr:sp macro="" textlink="">
          <xdr:nvSpPr>
            <xdr:cNvPr id="0" name=""/>
            <xdr:cNvSpPr>
              <a:spLocks noTextEdit="1"/>
            </xdr:cNvSpPr>
          </xdr:nvSpPr>
          <xdr:spPr>
            <a:xfrm>
              <a:off x="6353175" y="7200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C6" refreshedDate="46107.602587615744" createdVersion="6" refreshedVersion="6" minRefreshableVersion="3" recordCount="20" xr:uid="{B2EB4CA2-15FB-45ED-BB98-E8E6A6FE8A52}">
  <cacheSource type="worksheet">
    <worksheetSource ref="A2:E22" sheet="Raw_Data"/>
  </cacheSource>
  <cacheFields count="5">
    <cacheField name="ชื่อพนักงาน" numFmtId="0">
      <sharedItems count="20">
        <s v="สมชาย"/>
        <s v="สมหญิง"/>
        <s v="อนันต์"/>
        <s v="วิภา"/>
        <s v="ธนา"/>
        <s v="ศิริพร"/>
        <s v="กิตติ"/>
        <s v="จุฑามาศ"/>
        <s v="ประเสริฐ"/>
        <s v="นฤมล"/>
        <s v="วีระ"/>
        <s v="อรทัย"/>
        <s v="ชัยวัฒน์"/>
        <s v="พัชรี"/>
        <s v="ภาณุ"/>
        <s v="รัตนา"/>
        <s v="สุเมธ"/>
        <s v="กมล"/>
        <s v="อภิชาต"/>
        <s v="สุภาพร"/>
      </sharedItems>
    </cacheField>
    <cacheField name="จำนวนออเดอร์ที่ดำเนินการ" numFmtId="0">
      <sharedItems containsSemiMixedTypes="0" containsString="0" containsNumber="1" containsInteger="1" minValue="85" maxValue="150"/>
    </cacheField>
    <cacheField name="ระยะเวลาดำเนินงาน (วัน)" numFmtId="0">
      <sharedItems containsSemiMixedTypes="0" containsString="0" containsNumber="1" minValue="4" maxValue="7"/>
    </cacheField>
    <cacheField name="มูลค่าการประหยัดต้นทุน (บาท)" numFmtId="4">
      <sharedItems containsSemiMixedTypes="0" containsString="0" containsNumber="1" containsInteger="1" minValue="8000" maxValue="30000"/>
    </cacheField>
    <cacheField name="เดือน" numFmtId="4">
      <sharedItems count="6">
        <s v="Jan"/>
        <s v="Feb"/>
        <s v="Mar"/>
        <s v="Apr"/>
        <s v="May"/>
        <s v="Jun"/>
      </sharedItems>
    </cacheField>
  </cacheFields>
  <extLst>
    <ext xmlns:x14="http://schemas.microsoft.com/office/spreadsheetml/2009/9/main" uri="{725AE2AE-9491-48be-B2B4-4EB974FC3084}">
      <x14:pivotCacheDefinition pivotCacheId="491770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20"/>
    <n v="5"/>
    <n v="15000"/>
    <x v="0"/>
  </r>
  <r>
    <x v="1"/>
    <n v="95"/>
    <n v="7"/>
    <n v="9000"/>
    <x v="0"/>
  </r>
  <r>
    <x v="2"/>
    <n v="140"/>
    <n v="5"/>
    <n v="22000"/>
    <x v="1"/>
  </r>
  <r>
    <x v="3"/>
    <n v="110"/>
    <n v="6"/>
    <n v="18000"/>
    <x v="1"/>
  </r>
  <r>
    <x v="4"/>
    <n v="130"/>
    <n v="5"/>
    <n v="20000"/>
    <x v="2"/>
  </r>
  <r>
    <x v="5"/>
    <n v="85"/>
    <n v="7"/>
    <n v="8000"/>
    <x v="2"/>
  </r>
  <r>
    <x v="6"/>
    <n v="150"/>
    <n v="4"/>
    <n v="30000"/>
    <x v="3"/>
  </r>
  <r>
    <x v="7"/>
    <n v="100"/>
    <n v="6"/>
    <n v="12000"/>
    <x v="3"/>
  </r>
  <r>
    <x v="8"/>
    <n v="90"/>
    <n v="7"/>
    <n v="11000"/>
    <x v="4"/>
  </r>
  <r>
    <x v="9"/>
    <n v="115"/>
    <n v="5.5"/>
    <n v="17000"/>
    <x v="4"/>
  </r>
  <r>
    <x v="10"/>
    <n v="135"/>
    <n v="4"/>
    <n v="25000"/>
    <x v="5"/>
  </r>
  <r>
    <x v="11"/>
    <n v="105"/>
    <n v="6"/>
    <n v="16000"/>
    <x v="5"/>
  </r>
  <r>
    <x v="12"/>
    <n v="145"/>
    <n v="4.5"/>
    <n v="27000"/>
    <x v="0"/>
  </r>
  <r>
    <x v="13"/>
    <n v="88"/>
    <n v="5"/>
    <n v="9500"/>
    <x v="1"/>
  </r>
  <r>
    <x v="14"/>
    <n v="125"/>
    <n v="6.5"/>
    <n v="21000"/>
    <x v="2"/>
  </r>
  <r>
    <x v="15"/>
    <n v="138"/>
    <n v="5"/>
    <n v="13000"/>
    <x v="3"/>
  </r>
  <r>
    <x v="16"/>
    <n v="102"/>
    <n v="6"/>
    <n v="24000"/>
    <x v="4"/>
  </r>
  <r>
    <x v="17"/>
    <n v="142"/>
    <n v="5.5"/>
    <n v="15500"/>
    <x v="5"/>
  </r>
  <r>
    <x v="18"/>
    <n v="92"/>
    <n v="4"/>
    <n v="26000"/>
    <x v="0"/>
  </r>
  <r>
    <x v="19"/>
    <n v="96"/>
    <n v="7"/>
    <n v="1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D70DE3-53D3-4BFD-B08D-84BD2869AFA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V26" firstHeaderRow="1" firstDataRow="3" firstDataCol="1"/>
  <pivotFields count="5">
    <pivotField axis="axisRow" showAll="0">
      <items count="21">
        <item x="17"/>
        <item x="6"/>
        <item x="7"/>
        <item x="12"/>
        <item x="4"/>
        <item x="9"/>
        <item x="8"/>
        <item x="13"/>
        <item x="14"/>
        <item x="15"/>
        <item x="3"/>
        <item x="10"/>
        <item x="5"/>
        <item x="0"/>
        <item x="1"/>
        <item x="19"/>
        <item x="16"/>
        <item x="2"/>
        <item x="18"/>
        <item x="11"/>
        <item t="default"/>
      </items>
    </pivotField>
    <pivotField dataField="1" showAll="0"/>
    <pivotField dataField="1" showAll="0"/>
    <pivotField dataField="1" numFmtId="4" showAll="0"/>
    <pivotField axis="axisCol" showAll="0">
      <items count="7">
        <item x="0"/>
        <item x="1"/>
        <item x="2"/>
        <item x="3"/>
        <item x="4"/>
        <item x="5"/>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2">
    <field x="4"/>
    <field x="-2"/>
  </colFields>
  <colItems count="21">
    <i>
      <x/>
      <x/>
    </i>
    <i r="1" i="1">
      <x v="1"/>
    </i>
    <i r="1" i="2">
      <x v="2"/>
    </i>
    <i>
      <x v="1"/>
      <x/>
    </i>
    <i r="1" i="1">
      <x v="1"/>
    </i>
    <i r="1" i="2">
      <x v="2"/>
    </i>
    <i>
      <x v="2"/>
      <x/>
    </i>
    <i r="1" i="1">
      <x v="1"/>
    </i>
    <i r="1" i="2">
      <x v="2"/>
    </i>
    <i>
      <x v="3"/>
      <x/>
    </i>
    <i r="1" i="1">
      <x v="1"/>
    </i>
    <i r="1" i="2">
      <x v="2"/>
    </i>
    <i>
      <x v="4"/>
      <x/>
    </i>
    <i r="1" i="1">
      <x v="1"/>
    </i>
    <i r="1" i="2">
      <x v="2"/>
    </i>
    <i>
      <x v="5"/>
      <x/>
    </i>
    <i r="1" i="1">
      <x v="1"/>
    </i>
    <i r="1" i="2">
      <x v="2"/>
    </i>
    <i t="grand">
      <x/>
    </i>
    <i t="grand" i="1">
      <x/>
    </i>
    <i t="grand" i="2">
      <x/>
    </i>
  </colItems>
  <dataFields count="3">
    <dataField name="ประหยัดต้นทุน" fld="3" baseField="0" baseItem="0" numFmtId="4"/>
    <dataField name="ระยะเวลา" fld="2" baseField="0" baseItem="0"/>
    <dataField name=" จำนวนออเดอร์" fld="1" baseField="0" baseItem="0"/>
  </dataFields>
  <formats count="6">
    <format dxfId="5">
      <pivotArea dataOnly="0" labelOnly="1" fieldPosition="0">
        <references count="1">
          <reference field="4" count="1">
            <x v="1"/>
          </reference>
        </references>
      </pivotArea>
    </format>
    <format dxfId="4">
      <pivotArea dataOnly="0" labelOnly="1" fieldPosition="0">
        <references count="1">
          <reference field="4" count="1">
            <x v="1"/>
          </reference>
        </references>
      </pivotArea>
    </format>
    <format dxfId="3">
      <pivotArea dataOnly="0" labelOnly="1" fieldPosition="0">
        <references count="1">
          <reference field="4" count="1">
            <x v="2"/>
          </reference>
        </references>
      </pivotArea>
    </format>
    <format dxfId="2">
      <pivotArea dataOnly="0" labelOnly="1" fieldPosition="0">
        <references count="1">
          <reference field="4" count="1">
            <x v="3"/>
          </reference>
        </references>
      </pivotArea>
    </format>
    <format dxfId="1">
      <pivotArea dataOnly="0" labelOnly="1" fieldPosition="0">
        <references count="1">
          <reference field="4" count="1">
            <x v="4"/>
          </reference>
        </references>
      </pivotArea>
    </format>
    <format dxfId="0">
      <pivotArea dataOnly="0" labelOnly="1" fieldPosition="0">
        <references count="1">
          <reference field="4" count="1">
            <x v="5"/>
          </reference>
        </references>
      </pivotArea>
    </format>
  </formats>
  <chartFormats count="18">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2"/>
          </reference>
          <reference field="4" count="1" selected="0">
            <x v="0"/>
          </reference>
        </references>
      </pivotArea>
    </chartFormat>
    <chartFormat chart="0" format="4" series="1">
      <pivotArea type="data" outline="0" fieldPosition="0">
        <references count="2">
          <reference field="4294967294" count="1" selected="0">
            <x v="0"/>
          </reference>
          <reference field="4" count="1" selected="0">
            <x v="1"/>
          </reference>
        </references>
      </pivotArea>
    </chartFormat>
    <chartFormat chart="0" format="5" series="1">
      <pivotArea type="data" outline="0" fieldPosition="0">
        <references count="2">
          <reference field="4294967294" count="1" selected="0">
            <x v="2"/>
          </reference>
          <reference field="4" count="1" selected="0">
            <x v="1"/>
          </reference>
        </references>
      </pivotArea>
    </chartFormat>
    <chartFormat chart="0" format="7" series="1">
      <pivotArea type="data" outline="0" fieldPosition="0">
        <references count="2">
          <reference field="4294967294" count="1" selected="0">
            <x v="0"/>
          </reference>
          <reference field="4" count="1" selected="0">
            <x v="2"/>
          </reference>
        </references>
      </pivotArea>
    </chartFormat>
    <chartFormat chart="0" format="8" series="1">
      <pivotArea type="data" outline="0" fieldPosition="0">
        <references count="2">
          <reference field="4294967294" count="1" selected="0">
            <x v="2"/>
          </reference>
          <reference field="4" count="1" selected="0">
            <x v="2"/>
          </reference>
        </references>
      </pivotArea>
    </chartFormat>
    <chartFormat chart="0" format="10" series="1">
      <pivotArea type="data" outline="0" fieldPosition="0">
        <references count="2">
          <reference field="4294967294" count="1" selected="0">
            <x v="0"/>
          </reference>
          <reference field="4" count="1" selected="0">
            <x v="3"/>
          </reference>
        </references>
      </pivotArea>
    </chartFormat>
    <chartFormat chart="0" format="11" series="1">
      <pivotArea type="data" outline="0" fieldPosition="0">
        <references count="2">
          <reference field="4294967294" count="1" selected="0">
            <x v="2"/>
          </reference>
          <reference field="4" count="1" selected="0">
            <x v="3"/>
          </reference>
        </references>
      </pivotArea>
    </chartFormat>
    <chartFormat chart="0" format="13" series="1">
      <pivotArea type="data" outline="0" fieldPosition="0">
        <references count="2">
          <reference field="4294967294" count="1" selected="0">
            <x v="0"/>
          </reference>
          <reference field="4" count="1" selected="0">
            <x v="4"/>
          </reference>
        </references>
      </pivotArea>
    </chartFormat>
    <chartFormat chart="0" format="14" series="1">
      <pivotArea type="data" outline="0" fieldPosition="0">
        <references count="2">
          <reference field="4294967294" count="1" selected="0">
            <x v="2"/>
          </reference>
          <reference field="4" count="1" selected="0">
            <x v="4"/>
          </reference>
        </references>
      </pivotArea>
    </chartFormat>
    <chartFormat chart="0" format="16" series="1">
      <pivotArea type="data" outline="0" fieldPosition="0">
        <references count="2">
          <reference field="4294967294" count="1" selected="0">
            <x v="0"/>
          </reference>
          <reference field="4" count="1" selected="0">
            <x v="5"/>
          </reference>
        </references>
      </pivotArea>
    </chartFormat>
    <chartFormat chart="0" format="17" series="1">
      <pivotArea type="data" outline="0" fieldPosition="0">
        <references count="2">
          <reference field="4294967294" count="1" selected="0">
            <x v="2"/>
          </reference>
          <reference field="4" count="1" selected="0">
            <x v="5"/>
          </reference>
        </references>
      </pivotArea>
    </chartFormat>
    <chartFormat chart="0" format="18" series="1">
      <pivotArea type="data" outline="0" fieldPosition="0">
        <references count="2">
          <reference field="4294967294" count="1" selected="0">
            <x v="1"/>
          </reference>
          <reference field="4" count="1" selected="0">
            <x v="4"/>
          </reference>
        </references>
      </pivotArea>
    </chartFormat>
    <chartFormat chart="0" format="19" series="1">
      <pivotArea type="data" outline="0" fieldPosition="0">
        <references count="2">
          <reference field="4294967294" count="1" selected="0">
            <x v="1"/>
          </reference>
          <reference field="4" count="1" selected="0">
            <x v="5"/>
          </reference>
        </references>
      </pivotArea>
    </chartFormat>
    <chartFormat chart="0" format="20" series="1">
      <pivotArea type="data" outline="0" fieldPosition="0">
        <references count="2">
          <reference field="4294967294" count="1" selected="0">
            <x v="1"/>
          </reference>
          <reference field="4" count="1" selected="0">
            <x v="0"/>
          </reference>
        </references>
      </pivotArea>
    </chartFormat>
    <chartFormat chart="0" format="21" series="1">
      <pivotArea type="data" outline="0" fieldPosition="0">
        <references count="2">
          <reference field="4294967294" count="1" selected="0">
            <x v="1"/>
          </reference>
          <reference field="4" count="1" selected="0">
            <x v="1"/>
          </reference>
        </references>
      </pivotArea>
    </chartFormat>
    <chartFormat chart="0" format="22" series="1">
      <pivotArea type="data" outline="0" fieldPosition="0">
        <references count="2">
          <reference field="4294967294" count="1" selected="0">
            <x v="1"/>
          </reference>
          <reference field="4" count="1" selected="0">
            <x v="2"/>
          </reference>
        </references>
      </pivotArea>
    </chartFormat>
    <chartFormat chart="0" format="23" series="1">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เดือน" xr10:uid="{454711C6-DEB9-4D40-AE58-FBBCD0171A8D}" sourceName="เดือน">
  <pivotTables>
    <pivotTable tabId="3" name="PivotTable1"/>
  </pivotTables>
  <data>
    <tabular pivotCacheId="491770232">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เดือน" xr10:uid="{3A73E205-7D62-4284-81D7-B1D6C55EF880}" cache="Slicer_เดือน" caption="เดือน"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A00B-BCA0-4889-ADDF-9108E8275103}">
  <dimension ref="A1:V32"/>
  <sheetViews>
    <sheetView zoomScaleNormal="100" workbookViewId="0">
      <selection activeCell="G57" sqref="G57"/>
    </sheetView>
  </sheetViews>
  <sheetFormatPr defaultRowHeight="15"/>
  <cols>
    <col min="1" max="1" width="13.140625" bestFit="1" customWidth="1"/>
    <col min="2" max="2" width="16.28515625" bestFit="1" customWidth="1"/>
    <col min="3" max="3" width="10" bestFit="1" customWidth="1"/>
    <col min="4" max="4" width="15.7109375" bestFit="1" customWidth="1"/>
    <col min="5" max="5" width="15" bestFit="1" customWidth="1"/>
    <col min="6" max="6" width="10" bestFit="1" customWidth="1"/>
    <col min="7" max="7" width="15.7109375" bestFit="1" customWidth="1"/>
    <col min="8" max="8" width="15" bestFit="1" customWidth="1"/>
    <col min="9" max="9" width="10" bestFit="1" customWidth="1"/>
    <col min="10" max="10" width="15.7109375" bestFit="1" customWidth="1"/>
    <col min="11" max="11" width="15" bestFit="1" customWidth="1"/>
    <col min="12" max="12" width="10" bestFit="1" customWidth="1"/>
    <col min="13" max="13" width="15.7109375" bestFit="1" customWidth="1"/>
    <col min="14" max="14" width="15" bestFit="1" customWidth="1"/>
    <col min="15" max="15" width="10" bestFit="1" customWidth="1"/>
    <col min="16" max="16" width="15.7109375" bestFit="1" customWidth="1"/>
    <col min="17" max="17" width="15" bestFit="1" customWidth="1"/>
    <col min="18" max="18" width="10" bestFit="1" customWidth="1"/>
    <col min="19" max="19" width="15.7109375" bestFit="1" customWidth="1"/>
    <col min="20" max="20" width="20" bestFit="1" customWidth="1"/>
    <col min="21" max="21" width="15" bestFit="1" customWidth="1"/>
    <col min="22" max="22" width="20.5703125" bestFit="1" customWidth="1"/>
  </cols>
  <sheetData>
    <row r="1" spans="1:22" s="23" customFormat="1" ht="21" customHeight="1">
      <c r="A1" s="25" t="s">
        <v>45</v>
      </c>
      <c r="B1" s="25"/>
      <c r="C1" s="25"/>
      <c r="D1" s="25"/>
      <c r="E1" s="25"/>
      <c r="F1" s="25"/>
      <c r="G1" s="25"/>
      <c r="H1" s="25"/>
    </row>
    <row r="2" spans="1:22" ht="21" customHeight="1">
      <c r="A2" s="26" t="s">
        <v>46</v>
      </c>
      <c r="B2" s="26"/>
      <c r="C2" s="26"/>
      <c r="D2" s="26"/>
      <c r="E2" s="26"/>
      <c r="F2" s="26"/>
      <c r="G2" s="26"/>
      <c r="H2" s="26"/>
    </row>
    <row r="3" spans="1:22">
      <c r="B3" s="12" t="s">
        <v>2</v>
      </c>
    </row>
    <row r="4" spans="1:22">
      <c r="B4" t="s">
        <v>33</v>
      </c>
      <c r="E4" s="18" t="s">
        <v>34</v>
      </c>
      <c r="H4" s="19" t="s">
        <v>35</v>
      </c>
      <c r="K4" s="19" t="s">
        <v>36</v>
      </c>
      <c r="N4" s="19" t="s">
        <v>37</v>
      </c>
      <c r="Q4" s="19" t="s">
        <v>38</v>
      </c>
      <c r="T4" t="s">
        <v>43</v>
      </c>
      <c r="U4" t="s">
        <v>41</v>
      </c>
      <c r="V4" t="s">
        <v>39</v>
      </c>
    </row>
    <row r="5" spans="1:22">
      <c r="A5" s="12" t="s">
        <v>0</v>
      </c>
      <c r="B5" t="s">
        <v>44</v>
      </c>
      <c r="C5" t="s">
        <v>42</v>
      </c>
      <c r="D5" t="s">
        <v>40</v>
      </c>
      <c r="E5" t="s">
        <v>44</v>
      </c>
      <c r="F5" t="s">
        <v>42</v>
      </c>
      <c r="G5" t="s">
        <v>40</v>
      </c>
      <c r="H5" t="s">
        <v>44</v>
      </c>
      <c r="I5" t="s">
        <v>42</v>
      </c>
      <c r="J5" t="s">
        <v>40</v>
      </c>
      <c r="K5" t="s">
        <v>44</v>
      </c>
      <c r="L5" t="s">
        <v>42</v>
      </c>
      <c r="M5" t="s">
        <v>40</v>
      </c>
      <c r="N5" t="s">
        <v>44</v>
      </c>
      <c r="O5" t="s">
        <v>42</v>
      </c>
      <c r="P5" t="s">
        <v>40</v>
      </c>
      <c r="Q5" t="s">
        <v>44</v>
      </c>
      <c r="R5" t="s">
        <v>42</v>
      </c>
      <c r="S5" t="s">
        <v>40</v>
      </c>
    </row>
    <row r="6" spans="1:22">
      <c r="A6" s="13" t="s">
        <v>30</v>
      </c>
      <c r="B6" s="14"/>
      <c r="C6" s="22"/>
      <c r="D6" s="22"/>
      <c r="E6" s="14"/>
      <c r="F6" s="22"/>
      <c r="G6" s="22"/>
      <c r="H6" s="14"/>
      <c r="I6" s="22"/>
      <c r="J6" s="22"/>
      <c r="K6" s="14"/>
      <c r="L6" s="22"/>
      <c r="M6" s="22"/>
      <c r="N6" s="14"/>
      <c r="O6" s="22"/>
      <c r="P6" s="22"/>
      <c r="Q6" s="14">
        <v>15500</v>
      </c>
      <c r="R6" s="22">
        <v>5.5</v>
      </c>
      <c r="S6" s="22">
        <v>142</v>
      </c>
      <c r="T6" s="14">
        <v>15500</v>
      </c>
      <c r="U6" s="22">
        <v>5.5</v>
      </c>
      <c r="V6" s="22">
        <v>142</v>
      </c>
    </row>
    <row r="7" spans="1:22">
      <c r="A7" s="13" t="s">
        <v>19</v>
      </c>
      <c r="B7" s="14"/>
      <c r="C7" s="22"/>
      <c r="D7" s="22"/>
      <c r="E7" s="14"/>
      <c r="F7" s="22"/>
      <c r="G7" s="22"/>
      <c r="H7" s="14"/>
      <c r="I7" s="22"/>
      <c r="J7" s="22"/>
      <c r="K7" s="14">
        <v>30000</v>
      </c>
      <c r="L7" s="22">
        <v>4</v>
      </c>
      <c r="M7" s="22">
        <v>150</v>
      </c>
      <c r="N7" s="14"/>
      <c r="O7" s="22"/>
      <c r="P7" s="22"/>
      <c r="Q7" s="14"/>
      <c r="R7" s="22"/>
      <c r="S7" s="22"/>
      <c r="T7" s="14">
        <v>30000</v>
      </c>
      <c r="U7" s="22">
        <v>4</v>
      </c>
      <c r="V7" s="22">
        <v>150</v>
      </c>
    </row>
    <row r="8" spans="1:22">
      <c r="A8" s="13" t="s">
        <v>20</v>
      </c>
      <c r="B8" s="14"/>
      <c r="C8" s="22"/>
      <c r="D8" s="22"/>
      <c r="E8" s="14"/>
      <c r="F8" s="22"/>
      <c r="G8" s="22"/>
      <c r="H8" s="14"/>
      <c r="I8" s="22"/>
      <c r="J8" s="22"/>
      <c r="K8" s="14">
        <v>12000</v>
      </c>
      <c r="L8" s="22">
        <v>6</v>
      </c>
      <c r="M8" s="22">
        <v>100</v>
      </c>
      <c r="N8" s="14"/>
      <c r="O8" s="22"/>
      <c r="P8" s="22"/>
      <c r="Q8" s="14"/>
      <c r="R8" s="22"/>
      <c r="S8" s="22"/>
      <c r="T8" s="14">
        <v>12000</v>
      </c>
      <c r="U8" s="22">
        <v>6</v>
      </c>
      <c r="V8" s="22">
        <v>100</v>
      </c>
    </row>
    <row r="9" spans="1:22">
      <c r="A9" s="13" t="s">
        <v>25</v>
      </c>
      <c r="B9" s="14">
        <v>27000</v>
      </c>
      <c r="C9" s="22">
        <v>4.5</v>
      </c>
      <c r="D9" s="22">
        <v>145</v>
      </c>
      <c r="E9" s="14"/>
      <c r="F9" s="22"/>
      <c r="G9" s="22"/>
      <c r="H9" s="14"/>
      <c r="I9" s="22"/>
      <c r="J9" s="22"/>
      <c r="K9" s="14"/>
      <c r="L9" s="22"/>
      <c r="M9" s="22"/>
      <c r="N9" s="14"/>
      <c r="O9" s="22"/>
      <c r="P9" s="22"/>
      <c r="Q9" s="14"/>
      <c r="R9" s="22"/>
      <c r="S9" s="22"/>
      <c r="T9" s="14">
        <v>27000</v>
      </c>
      <c r="U9" s="22">
        <v>4.5</v>
      </c>
      <c r="V9" s="22">
        <v>145</v>
      </c>
    </row>
    <row r="10" spans="1:22">
      <c r="A10" s="13" t="s">
        <v>17</v>
      </c>
      <c r="B10" s="14"/>
      <c r="C10" s="22"/>
      <c r="D10" s="22"/>
      <c r="E10" s="14"/>
      <c r="F10" s="22"/>
      <c r="G10" s="22"/>
      <c r="H10" s="14">
        <v>20000</v>
      </c>
      <c r="I10" s="22">
        <v>5</v>
      </c>
      <c r="J10" s="22">
        <v>130</v>
      </c>
      <c r="K10" s="14"/>
      <c r="L10" s="22"/>
      <c r="M10" s="22"/>
      <c r="N10" s="14"/>
      <c r="O10" s="22"/>
      <c r="P10" s="22"/>
      <c r="Q10" s="14"/>
      <c r="R10" s="22"/>
      <c r="S10" s="22"/>
      <c r="T10" s="14">
        <v>20000</v>
      </c>
      <c r="U10" s="22">
        <v>5</v>
      </c>
      <c r="V10" s="22">
        <v>130</v>
      </c>
    </row>
    <row r="11" spans="1:22">
      <c r="A11" s="13" t="s">
        <v>22</v>
      </c>
      <c r="B11" s="14"/>
      <c r="C11" s="22"/>
      <c r="D11" s="22"/>
      <c r="E11" s="14"/>
      <c r="F11" s="22"/>
      <c r="G11" s="22"/>
      <c r="H11" s="14"/>
      <c r="I11" s="22"/>
      <c r="J11" s="22"/>
      <c r="K11" s="14"/>
      <c r="L11" s="22"/>
      <c r="M11" s="22"/>
      <c r="N11" s="14">
        <v>17000</v>
      </c>
      <c r="O11" s="22">
        <v>5.5</v>
      </c>
      <c r="P11" s="22">
        <v>115</v>
      </c>
      <c r="Q11" s="14"/>
      <c r="R11" s="22"/>
      <c r="S11" s="22"/>
      <c r="T11" s="14">
        <v>17000</v>
      </c>
      <c r="U11" s="22">
        <v>5.5</v>
      </c>
      <c r="V11" s="22">
        <v>115</v>
      </c>
    </row>
    <row r="12" spans="1:22">
      <c r="A12" s="13" t="s">
        <v>21</v>
      </c>
      <c r="B12" s="14"/>
      <c r="C12" s="22"/>
      <c r="D12" s="22"/>
      <c r="E12" s="14"/>
      <c r="F12" s="22"/>
      <c r="G12" s="22"/>
      <c r="H12" s="14"/>
      <c r="I12" s="22"/>
      <c r="J12" s="22"/>
      <c r="K12" s="14"/>
      <c r="L12" s="22"/>
      <c r="M12" s="22"/>
      <c r="N12" s="14">
        <v>11000</v>
      </c>
      <c r="O12" s="22">
        <v>7</v>
      </c>
      <c r="P12" s="22">
        <v>90</v>
      </c>
      <c r="Q12" s="14"/>
      <c r="R12" s="22"/>
      <c r="S12" s="22"/>
      <c r="T12" s="14">
        <v>11000</v>
      </c>
      <c r="U12" s="22">
        <v>7</v>
      </c>
      <c r="V12" s="22">
        <v>90</v>
      </c>
    </row>
    <row r="13" spans="1:22">
      <c r="A13" s="13" t="s">
        <v>26</v>
      </c>
      <c r="B13" s="14"/>
      <c r="C13" s="22"/>
      <c r="D13" s="22"/>
      <c r="E13" s="14">
        <v>9500</v>
      </c>
      <c r="F13" s="22">
        <v>5</v>
      </c>
      <c r="G13" s="22">
        <v>88</v>
      </c>
      <c r="H13" s="14"/>
      <c r="I13" s="22"/>
      <c r="J13" s="22"/>
      <c r="K13" s="14"/>
      <c r="L13" s="22"/>
      <c r="M13" s="22"/>
      <c r="N13" s="14"/>
      <c r="O13" s="22"/>
      <c r="P13" s="22"/>
      <c r="Q13" s="14"/>
      <c r="R13" s="22"/>
      <c r="S13" s="22"/>
      <c r="T13" s="14">
        <v>9500</v>
      </c>
      <c r="U13" s="22">
        <v>5</v>
      </c>
      <c r="V13" s="22">
        <v>88</v>
      </c>
    </row>
    <row r="14" spans="1:22">
      <c r="A14" s="13" t="s">
        <v>27</v>
      </c>
      <c r="B14" s="14"/>
      <c r="C14" s="22"/>
      <c r="D14" s="22"/>
      <c r="E14" s="14"/>
      <c r="F14" s="22"/>
      <c r="G14" s="22"/>
      <c r="H14" s="14">
        <v>21000</v>
      </c>
      <c r="I14" s="22">
        <v>6.5</v>
      </c>
      <c r="J14" s="22">
        <v>125</v>
      </c>
      <c r="K14" s="14"/>
      <c r="L14" s="22"/>
      <c r="M14" s="22"/>
      <c r="N14" s="14"/>
      <c r="O14" s="22"/>
      <c r="P14" s="22"/>
      <c r="Q14" s="14"/>
      <c r="R14" s="22"/>
      <c r="S14" s="22"/>
      <c r="T14" s="14">
        <v>21000</v>
      </c>
      <c r="U14" s="22">
        <v>6.5</v>
      </c>
      <c r="V14" s="22">
        <v>125</v>
      </c>
    </row>
    <row r="15" spans="1:22">
      <c r="A15" s="13" t="s">
        <v>28</v>
      </c>
      <c r="B15" s="14"/>
      <c r="C15" s="22"/>
      <c r="D15" s="22"/>
      <c r="E15" s="14"/>
      <c r="F15" s="22"/>
      <c r="G15" s="22"/>
      <c r="H15" s="14"/>
      <c r="I15" s="22"/>
      <c r="J15" s="22"/>
      <c r="K15" s="14">
        <v>13000</v>
      </c>
      <c r="L15" s="22">
        <v>5</v>
      </c>
      <c r="M15" s="22">
        <v>138</v>
      </c>
      <c r="N15" s="14"/>
      <c r="O15" s="22"/>
      <c r="P15" s="22"/>
      <c r="Q15" s="14"/>
      <c r="R15" s="22"/>
      <c r="S15" s="22"/>
      <c r="T15" s="14">
        <v>13000</v>
      </c>
      <c r="U15" s="22">
        <v>5</v>
      </c>
      <c r="V15" s="22">
        <v>138</v>
      </c>
    </row>
    <row r="16" spans="1:22">
      <c r="A16" s="13" t="s">
        <v>16</v>
      </c>
      <c r="B16" s="14"/>
      <c r="C16" s="22"/>
      <c r="D16" s="22"/>
      <c r="E16" s="14">
        <v>18000</v>
      </c>
      <c r="F16" s="22">
        <v>6</v>
      </c>
      <c r="G16" s="22">
        <v>110</v>
      </c>
      <c r="H16" s="14"/>
      <c r="I16" s="22"/>
      <c r="J16" s="22"/>
      <c r="K16" s="14"/>
      <c r="L16" s="22"/>
      <c r="M16" s="22"/>
      <c r="N16" s="14"/>
      <c r="O16" s="22"/>
      <c r="P16" s="22"/>
      <c r="Q16" s="14"/>
      <c r="R16" s="22"/>
      <c r="S16" s="22"/>
      <c r="T16" s="14">
        <v>18000</v>
      </c>
      <c r="U16" s="22">
        <v>6</v>
      </c>
      <c r="V16" s="22">
        <v>110</v>
      </c>
    </row>
    <row r="17" spans="1:22">
      <c r="A17" s="13" t="s">
        <v>23</v>
      </c>
      <c r="B17" s="14"/>
      <c r="C17" s="22"/>
      <c r="D17" s="22"/>
      <c r="E17" s="14"/>
      <c r="F17" s="22"/>
      <c r="G17" s="22"/>
      <c r="H17" s="14"/>
      <c r="I17" s="22"/>
      <c r="J17" s="22"/>
      <c r="K17" s="14"/>
      <c r="L17" s="22"/>
      <c r="M17" s="22"/>
      <c r="N17" s="14"/>
      <c r="O17" s="22"/>
      <c r="P17" s="22"/>
      <c r="Q17" s="14">
        <v>25000</v>
      </c>
      <c r="R17" s="22">
        <v>4</v>
      </c>
      <c r="S17" s="22">
        <v>135</v>
      </c>
      <c r="T17" s="14">
        <v>25000</v>
      </c>
      <c r="U17" s="22">
        <v>4</v>
      </c>
      <c r="V17" s="22">
        <v>135</v>
      </c>
    </row>
    <row r="18" spans="1:22">
      <c r="A18" s="13" t="s">
        <v>18</v>
      </c>
      <c r="B18" s="14"/>
      <c r="C18" s="22"/>
      <c r="D18" s="22"/>
      <c r="E18" s="14"/>
      <c r="F18" s="22"/>
      <c r="G18" s="22"/>
      <c r="H18" s="14">
        <v>8000</v>
      </c>
      <c r="I18" s="22">
        <v>7</v>
      </c>
      <c r="J18" s="22">
        <v>85</v>
      </c>
      <c r="K18" s="14"/>
      <c r="L18" s="22"/>
      <c r="M18" s="22"/>
      <c r="N18" s="14"/>
      <c r="O18" s="22"/>
      <c r="P18" s="22"/>
      <c r="Q18" s="14"/>
      <c r="R18" s="22"/>
      <c r="S18" s="22"/>
      <c r="T18" s="14">
        <v>8000</v>
      </c>
      <c r="U18" s="22">
        <v>7</v>
      </c>
      <c r="V18" s="22">
        <v>85</v>
      </c>
    </row>
    <row r="19" spans="1:22">
      <c r="A19" s="13" t="s">
        <v>13</v>
      </c>
      <c r="B19" s="14">
        <v>15000</v>
      </c>
      <c r="C19" s="22">
        <v>5</v>
      </c>
      <c r="D19" s="22">
        <v>120</v>
      </c>
      <c r="E19" s="14"/>
      <c r="F19" s="22"/>
      <c r="G19" s="22"/>
      <c r="H19" s="14"/>
      <c r="I19" s="22"/>
      <c r="J19" s="22"/>
      <c r="K19" s="14"/>
      <c r="L19" s="22"/>
      <c r="M19" s="22"/>
      <c r="N19" s="14"/>
      <c r="O19" s="22"/>
      <c r="P19" s="22"/>
      <c r="Q19" s="14"/>
      <c r="R19" s="22"/>
      <c r="S19" s="22"/>
      <c r="T19" s="14">
        <v>15000</v>
      </c>
      <c r="U19" s="22">
        <v>5</v>
      </c>
      <c r="V19" s="22">
        <v>120</v>
      </c>
    </row>
    <row r="20" spans="1:22">
      <c r="A20" s="13" t="s">
        <v>14</v>
      </c>
      <c r="B20" s="14">
        <v>9000</v>
      </c>
      <c r="C20" s="22">
        <v>7</v>
      </c>
      <c r="D20" s="22">
        <v>95</v>
      </c>
      <c r="E20" s="14"/>
      <c r="F20" s="22"/>
      <c r="G20" s="22"/>
      <c r="H20" s="14"/>
      <c r="I20" s="22"/>
      <c r="J20" s="22"/>
      <c r="K20" s="14"/>
      <c r="L20" s="22"/>
      <c r="M20" s="22"/>
      <c r="N20" s="14"/>
      <c r="O20" s="22"/>
      <c r="P20" s="22"/>
      <c r="Q20" s="14"/>
      <c r="R20" s="22"/>
      <c r="S20" s="22"/>
      <c r="T20" s="14">
        <v>9000</v>
      </c>
      <c r="U20" s="22">
        <v>7</v>
      </c>
      <c r="V20" s="22">
        <v>95</v>
      </c>
    </row>
    <row r="21" spans="1:22">
      <c r="A21" s="13" t="s">
        <v>32</v>
      </c>
      <c r="B21" s="14"/>
      <c r="C21" s="22"/>
      <c r="D21" s="22"/>
      <c r="E21" s="14">
        <v>10000</v>
      </c>
      <c r="F21" s="22">
        <v>7</v>
      </c>
      <c r="G21" s="22">
        <v>96</v>
      </c>
      <c r="H21" s="14"/>
      <c r="I21" s="22"/>
      <c r="J21" s="22"/>
      <c r="K21" s="14"/>
      <c r="L21" s="22"/>
      <c r="M21" s="22"/>
      <c r="N21" s="14"/>
      <c r="O21" s="22"/>
      <c r="P21" s="22"/>
      <c r="Q21" s="14"/>
      <c r="R21" s="22"/>
      <c r="S21" s="22"/>
      <c r="T21" s="14">
        <v>10000</v>
      </c>
      <c r="U21" s="22">
        <v>7</v>
      </c>
      <c r="V21" s="22">
        <v>96</v>
      </c>
    </row>
    <row r="22" spans="1:22">
      <c r="A22" s="13" t="s">
        <v>29</v>
      </c>
      <c r="B22" s="14"/>
      <c r="C22" s="22"/>
      <c r="D22" s="22"/>
      <c r="E22" s="14"/>
      <c r="F22" s="22"/>
      <c r="G22" s="22"/>
      <c r="H22" s="14"/>
      <c r="I22" s="22"/>
      <c r="J22" s="22"/>
      <c r="K22" s="14"/>
      <c r="L22" s="22"/>
      <c r="M22" s="22"/>
      <c r="N22" s="14">
        <v>24000</v>
      </c>
      <c r="O22" s="22">
        <v>6</v>
      </c>
      <c r="P22" s="22">
        <v>102</v>
      </c>
      <c r="Q22" s="14"/>
      <c r="R22" s="22"/>
      <c r="S22" s="22"/>
      <c r="T22" s="14">
        <v>24000</v>
      </c>
      <c r="U22" s="22">
        <v>6</v>
      </c>
      <c r="V22" s="22">
        <v>102</v>
      </c>
    </row>
    <row r="23" spans="1:22">
      <c r="A23" s="13" t="s">
        <v>15</v>
      </c>
      <c r="B23" s="14"/>
      <c r="C23" s="22"/>
      <c r="D23" s="22"/>
      <c r="E23" s="14">
        <v>22000</v>
      </c>
      <c r="F23" s="22">
        <v>5</v>
      </c>
      <c r="G23" s="22">
        <v>140</v>
      </c>
      <c r="H23" s="14"/>
      <c r="I23" s="22"/>
      <c r="J23" s="22"/>
      <c r="K23" s="14"/>
      <c r="L23" s="22"/>
      <c r="M23" s="22"/>
      <c r="N23" s="14"/>
      <c r="O23" s="22"/>
      <c r="P23" s="22"/>
      <c r="Q23" s="14"/>
      <c r="R23" s="22"/>
      <c r="S23" s="22"/>
      <c r="T23" s="14">
        <v>22000</v>
      </c>
      <c r="U23" s="22">
        <v>5</v>
      </c>
      <c r="V23" s="22">
        <v>140</v>
      </c>
    </row>
    <row r="24" spans="1:22">
      <c r="A24" s="13" t="s">
        <v>31</v>
      </c>
      <c r="B24" s="14">
        <v>26000</v>
      </c>
      <c r="C24" s="22">
        <v>4</v>
      </c>
      <c r="D24" s="22">
        <v>92</v>
      </c>
      <c r="E24" s="14"/>
      <c r="F24" s="22"/>
      <c r="G24" s="22"/>
      <c r="H24" s="14"/>
      <c r="I24" s="22"/>
      <c r="J24" s="22"/>
      <c r="K24" s="14"/>
      <c r="L24" s="22"/>
      <c r="M24" s="22"/>
      <c r="N24" s="14"/>
      <c r="O24" s="22"/>
      <c r="P24" s="22"/>
      <c r="Q24" s="14"/>
      <c r="R24" s="22"/>
      <c r="S24" s="22"/>
      <c r="T24" s="14">
        <v>26000</v>
      </c>
      <c r="U24" s="22">
        <v>4</v>
      </c>
      <c r="V24" s="22">
        <v>92</v>
      </c>
    </row>
    <row r="25" spans="1:22">
      <c r="A25" s="13" t="s">
        <v>24</v>
      </c>
      <c r="B25" s="14"/>
      <c r="C25" s="22"/>
      <c r="D25" s="22"/>
      <c r="E25" s="14"/>
      <c r="F25" s="22"/>
      <c r="G25" s="22"/>
      <c r="H25" s="14"/>
      <c r="I25" s="22"/>
      <c r="J25" s="22"/>
      <c r="K25" s="14"/>
      <c r="L25" s="22"/>
      <c r="M25" s="22"/>
      <c r="N25" s="14"/>
      <c r="O25" s="22"/>
      <c r="P25" s="22"/>
      <c r="Q25" s="14">
        <v>16000</v>
      </c>
      <c r="R25" s="22">
        <v>6</v>
      </c>
      <c r="S25" s="22">
        <v>105</v>
      </c>
      <c r="T25" s="14">
        <v>16000</v>
      </c>
      <c r="U25" s="22">
        <v>6</v>
      </c>
      <c r="V25" s="22">
        <v>105</v>
      </c>
    </row>
    <row r="26" spans="1:22">
      <c r="A26" s="13" t="s">
        <v>1</v>
      </c>
      <c r="B26" s="14">
        <v>77000</v>
      </c>
      <c r="C26" s="22">
        <v>20.5</v>
      </c>
      <c r="D26" s="22">
        <v>452</v>
      </c>
      <c r="E26" s="14">
        <v>59500</v>
      </c>
      <c r="F26" s="22">
        <v>23</v>
      </c>
      <c r="G26" s="22">
        <v>434</v>
      </c>
      <c r="H26" s="14">
        <v>49000</v>
      </c>
      <c r="I26" s="22">
        <v>18.5</v>
      </c>
      <c r="J26" s="22">
        <v>340</v>
      </c>
      <c r="K26" s="14">
        <v>55000</v>
      </c>
      <c r="L26" s="22">
        <v>15</v>
      </c>
      <c r="M26" s="22">
        <v>388</v>
      </c>
      <c r="N26" s="14">
        <v>52000</v>
      </c>
      <c r="O26" s="22">
        <v>18.5</v>
      </c>
      <c r="P26" s="22">
        <v>307</v>
      </c>
      <c r="Q26" s="14">
        <v>56500</v>
      </c>
      <c r="R26" s="22">
        <v>15.5</v>
      </c>
      <c r="S26" s="22">
        <v>382</v>
      </c>
      <c r="T26" s="14">
        <v>349000</v>
      </c>
      <c r="U26" s="22">
        <v>111</v>
      </c>
      <c r="V26" s="22">
        <v>2303</v>
      </c>
    </row>
    <row r="27" spans="1:22">
      <c r="A27" s="24"/>
    </row>
    <row r="28" spans="1:22" ht="27.75" customHeight="1">
      <c r="A28" s="27" t="s">
        <v>47</v>
      </c>
      <c r="B28" s="28"/>
      <c r="C28" s="28"/>
      <c r="D28" s="28"/>
      <c r="E28" s="28"/>
      <c r="F28" s="28"/>
      <c r="G28" s="28"/>
      <c r="H28" s="28"/>
    </row>
    <row r="29" spans="1:22" ht="21.75" customHeight="1">
      <c r="A29" s="28"/>
      <c r="B29" s="28"/>
      <c r="C29" s="28"/>
      <c r="D29" s="28"/>
      <c r="E29" s="28"/>
      <c r="F29" s="28"/>
      <c r="G29" s="28"/>
      <c r="H29" s="28"/>
    </row>
    <row r="30" spans="1:22">
      <c r="A30" s="28"/>
      <c r="B30" s="28"/>
      <c r="C30" s="28"/>
      <c r="D30" s="28"/>
      <c r="E30" s="28"/>
      <c r="F30" s="28"/>
      <c r="G30" s="28"/>
      <c r="H30" s="28"/>
    </row>
    <row r="31" spans="1:22">
      <c r="A31" s="28"/>
      <c r="B31" s="28"/>
      <c r="C31" s="28"/>
      <c r="D31" s="28"/>
      <c r="E31" s="28"/>
      <c r="F31" s="28"/>
      <c r="G31" s="28"/>
      <c r="H31" s="28"/>
    </row>
    <row r="32" spans="1:22" ht="42" customHeight="1">
      <c r="A32" s="28"/>
      <c r="B32" s="28"/>
      <c r="C32" s="28"/>
      <c r="D32" s="28"/>
      <c r="E32" s="28"/>
      <c r="F32" s="28"/>
      <c r="G32" s="28"/>
      <c r="H32" s="28"/>
    </row>
  </sheetData>
  <sortState columnSort="1" ref="A3:V26">
    <sortCondition descending="1" ref="B5"/>
  </sortState>
  <mergeCells count="3">
    <mergeCell ref="A1:H1"/>
    <mergeCell ref="A2:H2"/>
    <mergeCell ref="A28:H3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C0A1-CF39-4192-BB84-2D59F4111035}">
  <dimension ref="A1:G50"/>
  <sheetViews>
    <sheetView tabSelected="1" workbookViewId="0">
      <selection activeCell="B25" sqref="B25"/>
    </sheetView>
  </sheetViews>
  <sheetFormatPr defaultRowHeight="15"/>
  <cols>
    <col min="1" max="1" width="22.85546875" customWidth="1"/>
    <col min="2" max="2" width="23" customWidth="1"/>
    <col min="3" max="3" width="21.7109375" customWidth="1"/>
    <col min="4" max="4" width="23.28515625" customWidth="1"/>
    <col min="5" max="5" width="13.42578125" customWidth="1"/>
    <col min="6" max="6" width="16.85546875" customWidth="1"/>
  </cols>
  <sheetData>
    <row r="1" spans="1:7" ht="22.5" customHeight="1">
      <c r="A1" s="1" t="s">
        <v>3</v>
      </c>
      <c r="B1" s="1" t="s">
        <v>5</v>
      </c>
      <c r="C1" s="1" t="s">
        <v>7</v>
      </c>
      <c r="D1" s="1" t="s">
        <v>9</v>
      </c>
      <c r="E1" s="1" t="s">
        <v>11</v>
      </c>
      <c r="F1" s="15"/>
      <c r="G1" s="2"/>
    </row>
    <row r="2" spans="1:7" ht="22.5" customHeight="1">
      <c r="A2" s="1" t="s">
        <v>4</v>
      </c>
      <c r="B2" s="1" t="s">
        <v>6</v>
      </c>
      <c r="C2" s="1" t="s">
        <v>8</v>
      </c>
      <c r="D2" s="1" t="s">
        <v>10</v>
      </c>
      <c r="E2" s="1" t="s">
        <v>12</v>
      </c>
      <c r="F2" s="15"/>
      <c r="G2" s="2"/>
    </row>
    <row r="3" spans="1:7" ht="21" customHeight="1">
      <c r="A3" s="3" t="s">
        <v>13</v>
      </c>
      <c r="B3" s="6">
        <v>120</v>
      </c>
      <c r="C3" s="6">
        <v>5</v>
      </c>
      <c r="D3" s="9">
        <v>15000</v>
      </c>
      <c r="E3" s="9" t="s">
        <v>33</v>
      </c>
      <c r="F3" s="15"/>
      <c r="G3" s="2"/>
    </row>
    <row r="4" spans="1:7" ht="21" customHeight="1">
      <c r="A4" s="4" t="s">
        <v>14</v>
      </c>
      <c r="B4" s="7">
        <v>95</v>
      </c>
      <c r="C4" s="7">
        <v>7</v>
      </c>
      <c r="D4" s="10">
        <v>9000</v>
      </c>
      <c r="E4" s="9" t="s">
        <v>33</v>
      </c>
      <c r="F4" s="15"/>
      <c r="G4" s="2"/>
    </row>
    <row r="5" spans="1:7" ht="21" customHeight="1">
      <c r="A5" s="4" t="s">
        <v>15</v>
      </c>
      <c r="B5" s="7">
        <v>140</v>
      </c>
      <c r="C5" s="7">
        <v>5</v>
      </c>
      <c r="D5" s="10">
        <v>22000</v>
      </c>
      <c r="E5" s="9" t="s">
        <v>34</v>
      </c>
      <c r="F5" s="15"/>
      <c r="G5" s="2"/>
    </row>
    <row r="6" spans="1:7" ht="21" customHeight="1">
      <c r="A6" s="4" t="s">
        <v>16</v>
      </c>
      <c r="B6" s="7">
        <v>110</v>
      </c>
      <c r="C6" s="7">
        <v>6</v>
      </c>
      <c r="D6" s="10">
        <v>18000</v>
      </c>
      <c r="E6" s="9" t="s">
        <v>34</v>
      </c>
      <c r="F6" s="15"/>
      <c r="G6" s="2"/>
    </row>
    <row r="7" spans="1:7" ht="21" customHeight="1">
      <c r="A7" s="4" t="s">
        <v>17</v>
      </c>
      <c r="B7" s="7">
        <v>130</v>
      </c>
      <c r="C7" s="7">
        <v>5</v>
      </c>
      <c r="D7" s="10">
        <v>20000</v>
      </c>
      <c r="E7" s="10" t="s">
        <v>35</v>
      </c>
      <c r="F7" s="15"/>
      <c r="G7" s="2"/>
    </row>
    <row r="8" spans="1:7" ht="21" customHeight="1">
      <c r="A8" s="4" t="s">
        <v>18</v>
      </c>
      <c r="B8" s="7">
        <v>85</v>
      </c>
      <c r="C8" s="7">
        <v>7</v>
      </c>
      <c r="D8" s="10">
        <v>8000</v>
      </c>
      <c r="E8" s="10" t="s">
        <v>35</v>
      </c>
      <c r="F8" s="15"/>
      <c r="G8" s="2"/>
    </row>
    <row r="9" spans="1:7" ht="21" customHeight="1">
      <c r="A9" s="4" t="s">
        <v>19</v>
      </c>
      <c r="B9" s="7">
        <v>150</v>
      </c>
      <c r="C9" s="7">
        <v>4</v>
      </c>
      <c r="D9" s="10">
        <v>30000</v>
      </c>
      <c r="E9" s="10" t="s">
        <v>36</v>
      </c>
      <c r="F9" s="15"/>
      <c r="G9" s="2"/>
    </row>
    <row r="10" spans="1:7" ht="21" customHeight="1">
      <c r="A10" s="4" t="s">
        <v>20</v>
      </c>
      <c r="B10" s="7">
        <v>100</v>
      </c>
      <c r="C10" s="7">
        <v>6</v>
      </c>
      <c r="D10" s="10">
        <v>12000</v>
      </c>
      <c r="E10" s="10" t="s">
        <v>36</v>
      </c>
      <c r="F10" s="15"/>
      <c r="G10" s="2"/>
    </row>
    <row r="11" spans="1:7" ht="21" customHeight="1">
      <c r="A11" s="4" t="s">
        <v>21</v>
      </c>
      <c r="B11" s="7">
        <v>90</v>
      </c>
      <c r="C11" s="7">
        <v>7</v>
      </c>
      <c r="D11" s="10">
        <v>11000</v>
      </c>
      <c r="E11" s="10" t="s">
        <v>37</v>
      </c>
      <c r="F11" s="15"/>
      <c r="G11" s="2"/>
    </row>
    <row r="12" spans="1:7" ht="21" customHeight="1">
      <c r="A12" s="4" t="s">
        <v>22</v>
      </c>
      <c r="B12" s="7">
        <v>115</v>
      </c>
      <c r="C12" s="7">
        <v>5.5</v>
      </c>
      <c r="D12" s="10">
        <v>17000</v>
      </c>
      <c r="E12" s="10" t="s">
        <v>37</v>
      </c>
      <c r="F12" s="15"/>
      <c r="G12" s="2"/>
    </row>
    <row r="13" spans="1:7" ht="21" customHeight="1">
      <c r="A13" s="20" t="s">
        <v>23</v>
      </c>
      <c r="B13" s="7">
        <v>135</v>
      </c>
      <c r="C13" s="7">
        <v>4</v>
      </c>
      <c r="D13" s="10">
        <v>25000</v>
      </c>
      <c r="E13" s="10" t="s">
        <v>38</v>
      </c>
      <c r="F13" s="15"/>
      <c r="G13" s="2"/>
    </row>
    <row r="14" spans="1:7" ht="21" customHeight="1">
      <c r="A14" s="21" t="s">
        <v>24</v>
      </c>
      <c r="B14" s="7">
        <v>105</v>
      </c>
      <c r="C14" s="7">
        <v>6</v>
      </c>
      <c r="D14" s="10">
        <v>16000</v>
      </c>
      <c r="E14" s="10" t="s">
        <v>38</v>
      </c>
      <c r="F14" s="15"/>
      <c r="G14" s="2"/>
    </row>
    <row r="15" spans="1:7" ht="21" customHeight="1">
      <c r="A15" s="4" t="s">
        <v>25</v>
      </c>
      <c r="B15" s="7">
        <v>145</v>
      </c>
      <c r="C15" s="7">
        <v>4.5</v>
      </c>
      <c r="D15" s="10">
        <v>27000</v>
      </c>
      <c r="E15" s="10" t="s">
        <v>33</v>
      </c>
      <c r="F15" s="15"/>
      <c r="G15" s="2"/>
    </row>
    <row r="16" spans="1:7" ht="21" customHeight="1">
      <c r="A16" s="4" t="s">
        <v>26</v>
      </c>
      <c r="B16" s="7">
        <v>88</v>
      </c>
      <c r="C16" s="7">
        <v>5</v>
      </c>
      <c r="D16" s="10">
        <v>9500</v>
      </c>
      <c r="E16" s="10" t="s">
        <v>34</v>
      </c>
      <c r="F16" s="15"/>
      <c r="G16" s="2"/>
    </row>
    <row r="17" spans="1:7" ht="21" customHeight="1">
      <c r="A17" s="4" t="s">
        <v>27</v>
      </c>
      <c r="B17" s="7">
        <v>125</v>
      </c>
      <c r="C17" s="7">
        <v>6.5</v>
      </c>
      <c r="D17" s="10">
        <v>21000</v>
      </c>
      <c r="E17" s="10" t="s">
        <v>35</v>
      </c>
      <c r="F17" s="15"/>
      <c r="G17" s="2"/>
    </row>
    <row r="18" spans="1:7" ht="21" customHeight="1">
      <c r="A18" s="4" t="s">
        <v>28</v>
      </c>
      <c r="B18" s="7">
        <v>138</v>
      </c>
      <c r="C18" s="7">
        <v>5</v>
      </c>
      <c r="D18" s="10">
        <v>13000</v>
      </c>
      <c r="E18" s="10" t="s">
        <v>36</v>
      </c>
      <c r="F18" s="15"/>
      <c r="G18" s="2"/>
    </row>
    <row r="19" spans="1:7" ht="21" customHeight="1">
      <c r="A19" s="4" t="s">
        <v>29</v>
      </c>
      <c r="B19" s="7">
        <v>102</v>
      </c>
      <c r="C19" s="7">
        <v>6</v>
      </c>
      <c r="D19" s="10">
        <v>24000</v>
      </c>
      <c r="E19" s="10" t="s">
        <v>37</v>
      </c>
      <c r="F19" s="15"/>
      <c r="G19" s="2"/>
    </row>
    <row r="20" spans="1:7" ht="21" customHeight="1">
      <c r="A20" s="4" t="s">
        <v>30</v>
      </c>
      <c r="B20" s="7">
        <v>142</v>
      </c>
      <c r="C20" s="7">
        <v>5.5</v>
      </c>
      <c r="D20" s="10">
        <v>15500</v>
      </c>
      <c r="E20" s="10" t="s">
        <v>38</v>
      </c>
      <c r="F20" s="15"/>
      <c r="G20" s="2"/>
    </row>
    <row r="21" spans="1:7" ht="21" customHeight="1">
      <c r="A21" s="4" t="s">
        <v>31</v>
      </c>
      <c r="B21" s="7">
        <v>92</v>
      </c>
      <c r="C21" s="7">
        <v>4</v>
      </c>
      <c r="D21" s="10">
        <v>26000</v>
      </c>
      <c r="E21" s="10" t="s">
        <v>33</v>
      </c>
      <c r="F21" s="15"/>
      <c r="G21" s="2"/>
    </row>
    <row r="22" spans="1:7" ht="21" customHeight="1">
      <c r="A22" s="5" t="s">
        <v>32</v>
      </c>
      <c r="B22" s="8">
        <v>96</v>
      </c>
      <c r="C22" s="8">
        <v>7</v>
      </c>
      <c r="D22" s="11">
        <v>10000</v>
      </c>
      <c r="E22" s="11" t="s">
        <v>34</v>
      </c>
      <c r="F22" s="15"/>
      <c r="G22" s="2"/>
    </row>
    <row r="23" spans="1:7" ht="21" customHeight="1">
      <c r="A23" s="16"/>
      <c r="B23" s="15"/>
      <c r="C23" s="15"/>
      <c r="D23" s="15"/>
      <c r="E23" s="17"/>
      <c r="F23" s="15"/>
      <c r="G23" s="2"/>
    </row>
    <row r="24" spans="1:7" ht="21" customHeight="1">
      <c r="A24" s="16"/>
      <c r="B24" s="15"/>
      <c r="C24" s="15"/>
      <c r="D24" s="15"/>
      <c r="E24" s="17"/>
      <c r="F24" s="15"/>
      <c r="G24" s="2"/>
    </row>
    <row r="25" spans="1:7" ht="21" customHeight="1">
      <c r="A25" s="16"/>
      <c r="B25" s="15"/>
      <c r="C25" s="15"/>
      <c r="D25" s="15"/>
      <c r="E25" s="17"/>
      <c r="F25" s="15"/>
      <c r="G25" s="2"/>
    </row>
    <row r="26" spans="1:7" ht="21" customHeight="1">
      <c r="A26" s="16"/>
      <c r="B26" s="15"/>
      <c r="C26" s="15"/>
      <c r="D26" s="15"/>
      <c r="E26" s="17"/>
      <c r="F26" s="15"/>
      <c r="G26" s="2"/>
    </row>
    <row r="27" spans="1:7" ht="21" customHeight="1">
      <c r="A27" s="16"/>
      <c r="B27" s="15"/>
      <c r="C27" s="15"/>
      <c r="D27" s="15"/>
      <c r="E27" s="17"/>
      <c r="F27" s="15"/>
      <c r="G27" s="2"/>
    </row>
    <row r="28" spans="1:7" ht="21" customHeight="1">
      <c r="A28" s="16"/>
      <c r="B28" s="15"/>
      <c r="C28" s="15"/>
      <c r="D28" s="15"/>
      <c r="E28" s="17"/>
      <c r="F28" s="15"/>
      <c r="G28" s="2"/>
    </row>
    <row r="29" spans="1:7" ht="21" customHeight="1">
      <c r="A29" s="16"/>
      <c r="B29" s="15"/>
      <c r="C29" s="15"/>
      <c r="D29" s="15"/>
      <c r="E29" s="17"/>
      <c r="F29" s="15"/>
      <c r="G29" s="2"/>
    </row>
    <row r="30" spans="1:7" ht="21" customHeight="1">
      <c r="A30" s="16"/>
      <c r="B30" s="15"/>
      <c r="C30" s="15"/>
      <c r="D30" s="15"/>
      <c r="E30" s="17"/>
      <c r="F30" s="15"/>
      <c r="G30" s="2"/>
    </row>
    <row r="31" spans="1:7" ht="21" customHeight="1">
      <c r="A31" s="16"/>
      <c r="B31" s="15"/>
      <c r="C31" s="15"/>
      <c r="D31" s="15"/>
      <c r="E31" s="17"/>
      <c r="F31" s="15"/>
      <c r="G31" s="2"/>
    </row>
    <row r="32" spans="1:7" ht="21" customHeight="1">
      <c r="A32" s="16"/>
      <c r="B32" s="15"/>
      <c r="C32" s="15"/>
      <c r="D32" s="15"/>
      <c r="E32" s="17"/>
      <c r="F32" s="15"/>
      <c r="G32" s="2"/>
    </row>
    <row r="33" spans="1:7" ht="21" customHeight="1">
      <c r="A33" s="16"/>
      <c r="B33" s="15"/>
      <c r="C33" s="15"/>
      <c r="D33" s="15"/>
      <c r="E33" s="17"/>
      <c r="F33" s="15"/>
      <c r="G33" s="2"/>
    </row>
    <row r="34" spans="1:7" ht="21" customHeight="1">
      <c r="A34" s="16"/>
      <c r="B34" s="15"/>
      <c r="C34" s="15"/>
      <c r="D34" s="15"/>
      <c r="E34" s="17"/>
      <c r="F34" s="15"/>
      <c r="G34" s="2"/>
    </row>
    <row r="35" spans="1:7" ht="21" customHeight="1">
      <c r="A35" s="16"/>
      <c r="B35" s="15"/>
      <c r="C35" s="15"/>
      <c r="D35" s="15"/>
      <c r="E35" s="17"/>
      <c r="F35" s="15"/>
      <c r="G35" s="2"/>
    </row>
    <row r="36" spans="1:7" ht="21" customHeight="1">
      <c r="A36" s="16"/>
      <c r="B36" s="15"/>
      <c r="C36" s="15"/>
      <c r="D36" s="15"/>
      <c r="E36" s="17"/>
      <c r="F36" s="15"/>
      <c r="G36" s="2"/>
    </row>
    <row r="37" spans="1:7" ht="21" customHeight="1">
      <c r="A37" s="16"/>
      <c r="B37" s="15"/>
      <c r="C37" s="15"/>
      <c r="D37" s="15"/>
      <c r="E37" s="17"/>
      <c r="F37" s="15"/>
      <c r="G37" s="2"/>
    </row>
    <row r="38" spans="1:7" ht="21" customHeight="1">
      <c r="A38" s="16"/>
      <c r="B38" s="15"/>
      <c r="C38" s="15"/>
      <c r="D38" s="15"/>
      <c r="E38" s="17"/>
      <c r="F38" s="15"/>
      <c r="G38" s="2"/>
    </row>
    <row r="39" spans="1:7" ht="21" customHeight="1">
      <c r="A39" s="16"/>
      <c r="B39" s="15"/>
      <c r="C39" s="15"/>
      <c r="D39" s="15"/>
      <c r="E39" s="17"/>
      <c r="F39" s="15"/>
      <c r="G39" s="2"/>
    </row>
    <row r="40" spans="1:7" ht="21" customHeight="1">
      <c r="A40" s="16"/>
      <c r="B40" s="15"/>
      <c r="C40" s="15"/>
      <c r="D40" s="15"/>
      <c r="E40" s="17"/>
      <c r="F40" s="15"/>
      <c r="G40" s="2"/>
    </row>
    <row r="41" spans="1:7" ht="21" customHeight="1">
      <c r="A41" s="16"/>
      <c r="B41" s="15"/>
      <c r="C41" s="15"/>
      <c r="D41" s="15"/>
      <c r="E41" s="17"/>
      <c r="F41" s="15"/>
      <c r="G41" s="2"/>
    </row>
    <row r="42" spans="1:7" ht="21" customHeight="1">
      <c r="A42" s="16"/>
      <c r="B42" s="15"/>
      <c r="C42" s="15"/>
      <c r="D42" s="15"/>
      <c r="E42" s="17"/>
      <c r="F42" s="15"/>
      <c r="G42" s="2"/>
    </row>
    <row r="43" spans="1:7" ht="21" customHeight="1">
      <c r="A43" s="16"/>
      <c r="B43" s="15"/>
      <c r="C43" s="15"/>
      <c r="D43" s="15"/>
      <c r="E43" s="17"/>
      <c r="F43" s="15"/>
      <c r="G43" s="2"/>
    </row>
    <row r="44" spans="1:7" ht="21" customHeight="1">
      <c r="A44" s="16"/>
      <c r="B44" s="15"/>
      <c r="C44" s="15"/>
      <c r="D44" s="15"/>
      <c r="E44" s="17"/>
      <c r="F44" s="15"/>
      <c r="G44" s="2"/>
    </row>
    <row r="45" spans="1:7" ht="21" customHeight="1">
      <c r="A45" s="16"/>
      <c r="B45" s="15"/>
      <c r="C45" s="15"/>
      <c r="D45" s="15"/>
      <c r="E45" s="17"/>
      <c r="F45" s="15"/>
      <c r="G45" s="2"/>
    </row>
    <row r="46" spans="1:7" ht="21" customHeight="1">
      <c r="A46" s="16"/>
      <c r="B46" s="15"/>
      <c r="C46" s="15"/>
      <c r="D46" s="15"/>
      <c r="E46" s="17"/>
      <c r="F46" s="15"/>
      <c r="G46" s="2"/>
    </row>
    <row r="47" spans="1:7" ht="21" customHeight="1">
      <c r="A47" s="16"/>
      <c r="B47" s="15"/>
      <c r="C47" s="15"/>
      <c r="D47" s="15"/>
      <c r="E47" s="17"/>
      <c r="F47" s="15"/>
      <c r="G47" s="2"/>
    </row>
    <row r="48" spans="1:7" ht="21" customHeight="1">
      <c r="A48" s="16"/>
      <c r="B48" s="15"/>
      <c r="C48" s="15"/>
      <c r="D48" s="15"/>
      <c r="E48" s="17"/>
      <c r="F48" s="15"/>
      <c r="G48" s="2"/>
    </row>
    <row r="49" spans="1:7" ht="21" customHeight="1">
      <c r="A49" s="16"/>
      <c r="B49" s="15"/>
      <c r="C49" s="15"/>
      <c r="D49" s="15"/>
      <c r="E49" s="17"/>
      <c r="F49" s="15"/>
      <c r="G49" s="2"/>
    </row>
    <row r="50" spans="1:7" ht="21" customHeight="1">
      <c r="A50" s="16"/>
      <c r="B50" s="15"/>
      <c r="C50" s="15"/>
      <c r="D50" s="15"/>
      <c r="E50" s="17"/>
      <c r="F50" s="15"/>
      <c r="G5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Pivot_Summary_Dashboard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Lenovo-C6</dc:creator>
  <cp:lastModifiedBy>Lenovo-C6</cp:lastModifiedBy>
  <dcterms:created xsi:type="dcterms:W3CDTF">2026-03-25T02:36:44Z</dcterms:created>
  <dcterms:modified xsi:type="dcterms:W3CDTF">2026-03-26T08:24:51Z</dcterms:modified>
</cp:coreProperties>
</file>